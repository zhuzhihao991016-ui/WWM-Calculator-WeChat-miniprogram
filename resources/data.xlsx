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2935" activeTab="4"/>
  </bookViews>
  <sheets>
    <sheet name="目标属性" sheetId="1" r:id="rId1"/>
    <sheet name="流派表" sheetId="2" r:id="rId2"/>
    <sheet name="武器奇术" sheetId="3" r:id="rId3"/>
    <sheet name="毕业面板" sheetId="4" r:id="rId4"/>
    <sheet name="轴" sheetId="5" r:id="rId5"/>
    <sheet name="加成" sheetId="7" r:id="rId6"/>
    <sheet name="套装" sheetId="8" r:id="rId7"/>
    <sheet name="满值词条" sheetId="9" r:id="rId8"/>
    <sheet name="技能奇术耗时" sheetId="10" r:id="rId9"/>
  </sheets>
  <externalReferences>
    <externalReference r:id="rId10"/>
  </externalReferences>
  <definedNames>
    <definedName name="有无易水歌6重">IF(AND(COUNTIF([1]面板区!$J$8:$Q$8,"易水歌")&gt;0,INDEX([1]面板区!$J$10:$Q$10,1,MATCH("易水歌",[1]面板区!$J$8:$Q$8,0))="六重"),1,0)</definedName>
    <definedName name="外穿面板">[1]面板区!$H$8</definedName>
    <definedName name="大鸣金面板">[1]面板区!$F$9</definedName>
    <definedName name="持续加成面板">[1]面板区!$F$18</definedName>
    <definedName name="套装">[1]面板区!$O$15</definedName>
    <definedName name="心法区">[1]面板区!$J$8:$Q$8</definedName>
    <definedName name="套装区">[1]套装!$A$1:$P$12</definedName>
    <definedName name="Checkxinfa">_xlfn.LAMBDA(_xlpm.心法名称,_xlpm.心法重数,_xlpm.真值,_xlpm.假值,IF(AND(COUNTIF(心法区,_xlpm.心法名称)&gt;0,_xlfn.XLOOKUP(_xlpm.心法名称,心法区,[1]面板区!$J$10:$Q$10,0,0,1)=_xlpm.心法重数),_xlpm.真值,_xlpm.假值))</definedName>
    <definedName name="checkxinf">_xlfn.LAMBDA(_xlpm.心法名称,_xlpm.真值,_xlpm.假值,IF(COUNTIF(心法区,_xlpm.心法名称)&gt;0,_xlpm.真值,_xlpm.假值))</definedName>
    <definedName name="计算区技能对应轴表行">"ROW()-MATCH(面板区!$L$2,轴!A:A,0)-1"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<sst xmlns="http://schemas.openxmlformats.org/spreadsheetml/2006/main" count="7651" uniqueCount="520">
  <si>
    <t>目标名称</t>
  </si>
  <si>
    <t>外功防御</t>
  </si>
  <si>
    <t>通用增伤</t>
  </si>
  <si>
    <t>气竭增伤</t>
  </si>
  <si>
    <t>16无相皇</t>
  </si>
  <si>
    <t>51无相皇</t>
  </si>
  <si>
    <t>71赤霄惊梦·极</t>
  </si>
  <si>
    <t>81山河醉影</t>
  </si>
  <si>
    <t>86沉棺泊梦</t>
  </si>
  <si>
    <t>86笑引阎罗帖·极</t>
  </si>
  <si>
    <t>91碧血照黄沙·极</t>
  </si>
  <si>
    <t>91幽牙蛇影</t>
  </si>
  <si>
    <t>流派名称</t>
  </si>
  <si>
    <t>主属性</t>
  </si>
  <si>
    <t>隐藏本系属性攻击</t>
  </si>
  <si>
    <t>定音1</t>
  </si>
  <si>
    <t>定音2</t>
  </si>
  <si>
    <t>定音3</t>
  </si>
  <si>
    <t>固定心法</t>
  </si>
  <si>
    <t>可选心法1</t>
  </si>
  <si>
    <t>可选心法2</t>
  </si>
  <si>
    <t>可选心法3</t>
  </si>
  <si>
    <t>可选心法4</t>
  </si>
  <si>
    <t>可选心法5</t>
  </si>
  <si>
    <t>可选心法6</t>
  </si>
  <si>
    <t>可选心法7</t>
  </si>
  <si>
    <t>可选心法8</t>
  </si>
  <si>
    <t>可选心法9</t>
  </si>
  <si>
    <t>轴1</t>
  </si>
  <si>
    <t>轴2</t>
  </si>
  <si>
    <t>轴3</t>
  </si>
  <si>
    <t>武学增效1</t>
  </si>
  <si>
    <t>武学增效2</t>
  </si>
  <si>
    <t>武器1</t>
  </si>
  <si>
    <t>武器2</t>
  </si>
  <si>
    <t>鸣金虹</t>
  </si>
  <si>
    <t>鸣金</t>
  </si>
  <si>
    <t>剑蓄力增伤</t>
  </si>
  <si>
    <t>N/A</t>
  </si>
  <si>
    <t>无名心法</t>
  </si>
  <si>
    <t>易水歌</t>
  </si>
  <si>
    <t>威猛歌</t>
  </si>
  <si>
    <t>千山法</t>
  </si>
  <si>
    <t>断石之构</t>
  </si>
  <si>
    <t>征人归</t>
  </si>
  <si>
    <t>气涌轴</t>
  </si>
  <si>
    <t>剑武学增伤</t>
  </si>
  <si>
    <t>枪武学增伤</t>
  </si>
  <si>
    <t>剑</t>
  </si>
  <si>
    <t>枪</t>
  </si>
  <si>
    <t>鸣金影</t>
  </si>
  <si>
    <t>流血增伤</t>
  </si>
  <si>
    <t>剑气纵横</t>
  </si>
  <si>
    <t>逐狼心经</t>
  </si>
  <si>
    <t>凝神章</t>
  </si>
  <si>
    <t>所恨年年</t>
  </si>
  <si>
    <t>6血爆骑龙轴</t>
  </si>
  <si>
    <t>4血爆骑龙轴</t>
  </si>
  <si>
    <t>牵丝玉</t>
  </si>
  <si>
    <t>牵丝</t>
  </si>
  <si>
    <t>伞特殊增伤</t>
  </si>
  <si>
    <t>伞武学增伤</t>
  </si>
  <si>
    <t>花上月令</t>
  </si>
  <si>
    <t>纵地摘星</t>
  </si>
  <si>
    <t>极乐泣血</t>
  </si>
  <si>
    <t>6花火拳轴</t>
  </si>
  <si>
    <t>5花龙蛤轴</t>
  </si>
  <si>
    <t>扇武学增伤</t>
  </si>
  <si>
    <t>伞</t>
  </si>
  <si>
    <t>扇</t>
  </si>
  <si>
    <t>裂石威</t>
  </si>
  <si>
    <t>裂石</t>
  </si>
  <si>
    <t>陌刀蓄力增伤</t>
  </si>
  <si>
    <t>山河绝韵</t>
  </si>
  <si>
    <t>移经易武</t>
  </si>
  <si>
    <t>抗造大法</t>
  </si>
  <si>
    <t>穿喉诀</t>
  </si>
  <si>
    <t>6山河竞速轴</t>
  </si>
  <si>
    <t>陌刀武学增伤</t>
  </si>
  <si>
    <t>陌刀</t>
  </si>
  <si>
    <t>裂石均</t>
  </si>
  <si>
    <t>横刀派生技增伤</t>
  </si>
  <si>
    <t>陌刀蓄力技增伤</t>
  </si>
  <si>
    <t>霜天白夜</t>
  </si>
  <si>
    <t>孤忠不辞</t>
  </si>
  <si>
    <t>双切轴</t>
  </si>
  <si>
    <t>横刀武学增伤</t>
  </si>
  <si>
    <t>横刀</t>
  </si>
  <si>
    <t>破竹风</t>
  </si>
  <si>
    <t>破竹</t>
  </si>
  <si>
    <t>鼠鼠增伤</t>
  </si>
  <si>
    <t>强效轻击增伤</t>
  </si>
  <si>
    <t>忘川绝响</t>
  </si>
  <si>
    <t>心弥泥鱼</t>
  </si>
  <si>
    <t>双红轴</t>
  </si>
  <si>
    <t>双刀武学增伤</t>
  </si>
  <si>
    <t>绳镖武学增伤</t>
  </si>
  <si>
    <t>双刀</t>
  </si>
  <si>
    <t>绳镖</t>
  </si>
  <si>
    <t>破竹尘</t>
  </si>
  <si>
    <t>千营一呼</t>
  </si>
  <si>
    <t>绳舟行木</t>
  </si>
  <si>
    <t>大唐歌</t>
  </si>
  <si>
    <t>双笛轴</t>
  </si>
  <si>
    <t>卡伞轴</t>
  </si>
  <si>
    <t>技能名</t>
  </si>
  <si>
    <t>倍率</t>
  </si>
  <si>
    <t>固伤</t>
  </si>
  <si>
    <t>属攻倍率</t>
  </si>
  <si>
    <t>属攻固伤</t>
  </si>
  <si>
    <t>额外最小外功加成</t>
  </si>
  <si>
    <t>额外最小外功</t>
  </si>
  <si>
    <t>额外最大外攻加成</t>
  </si>
  <si>
    <t>额外最大外攻</t>
  </si>
  <si>
    <t>额外会心率</t>
  </si>
  <si>
    <t>额外会心伤害</t>
  </si>
  <si>
    <t>额外会意率</t>
  </si>
  <si>
    <t>额外会意伤害</t>
  </si>
  <si>
    <t>补正</t>
  </si>
  <si>
    <t>额外增伤</t>
  </si>
  <si>
    <t>额外外功穿透</t>
  </si>
  <si>
    <t>蓄力技能</t>
  </si>
  <si>
    <t>类型1</t>
  </si>
  <si>
    <t>类型2</t>
  </si>
  <si>
    <t>属性</t>
  </si>
  <si>
    <t>特殊</t>
  </si>
  <si>
    <t>定音</t>
  </si>
  <si>
    <t>必定会心</t>
  </si>
  <si>
    <t>天工</t>
  </si>
  <si>
    <t>天工火每秒</t>
  </si>
  <si>
    <t>天工毒每秒</t>
  </si>
  <si>
    <t>心法</t>
  </si>
  <si>
    <t>极乐</t>
  </si>
  <si>
    <t>易水歌6重</t>
  </si>
  <si>
    <t>易水</t>
  </si>
  <si>
    <t>6重骑龙回马1段</t>
  </si>
  <si>
    <t>奇术</t>
  </si>
  <si>
    <t>单体控制</t>
  </si>
  <si>
    <t>6重骑龙回马2段</t>
  </si>
  <si>
    <t>6重骑龙回马打满</t>
  </si>
  <si>
    <t>6重神龙吐火一段</t>
  </si>
  <si>
    <t>单体爆发</t>
  </si>
  <si>
    <t>6重神龙吐火两段</t>
  </si>
  <si>
    <t>6重神龙吐火爆燃每跳</t>
  </si>
  <si>
    <t>持续</t>
  </si>
  <si>
    <t>6重太白醉月1-4</t>
  </si>
  <si>
    <t>6重太白醉月5</t>
  </si>
  <si>
    <t>6重太白醉月爆炸</t>
  </si>
  <si>
    <t>6重金蟾腾跃震退</t>
  </si>
  <si>
    <t>群体异常</t>
  </si>
  <si>
    <t>6重金蟾腾跃一段</t>
  </si>
  <si>
    <t>6重金蟾腾跃毒</t>
  </si>
  <si>
    <t>6重萧吟千浪AOE</t>
  </si>
  <si>
    <t>群体伤害</t>
  </si>
  <si>
    <t>6重萧吟千浪首轮流星</t>
  </si>
  <si>
    <t>6重箫吟千浪单次后续流星</t>
  </si>
  <si>
    <t>95陌枪特殊</t>
  </si>
  <si>
    <t>武器</t>
  </si>
  <si>
    <t>95陌刀R蓄2段</t>
  </si>
  <si>
    <t>95陌刀R蓄3段（2战意）</t>
  </si>
  <si>
    <t>95陌刀R蓄3段（1战意）</t>
  </si>
  <si>
    <t>95陌刀R蓄3段（无战意）</t>
  </si>
  <si>
    <t>95陌刀派生（2战意）</t>
  </si>
  <si>
    <t>95陌刀派生（1战意）</t>
  </si>
  <si>
    <t>95伞左蓄每秒</t>
  </si>
  <si>
    <t>伞蓄力增伤</t>
  </si>
  <si>
    <t>95伞Q</t>
  </si>
  <si>
    <t>95扇Q(近距离命中)</t>
  </si>
  <si>
    <t>95丢伞</t>
  </si>
  <si>
    <t>95不谢花</t>
  </si>
  <si>
    <t>95扇～</t>
  </si>
  <si>
    <t>95扇三连</t>
  </si>
  <si>
    <t>95扇五连</t>
  </si>
  <si>
    <t>95扇左蓄</t>
  </si>
  <si>
    <t>95伞重轻派生</t>
  </si>
  <si>
    <t>95双刀普攻1</t>
  </si>
  <si>
    <t>95双刀普攻2</t>
  </si>
  <si>
    <t>95双刀普攻3</t>
  </si>
  <si>
    <t>95双刀普攻4</t>
  </si>
  <si>
    <t>95双刀红人普攻1</t>
  </si>
  <si>
    <t>95双刀红人普攻2</t>
  </si>
  <si>
    <t>95双刀红人普攻3</t>
  </si>
  <si>
    <t>95双刀红人普攻4</t>
  </si>
  <si>
    <t>95双刀红人普攻5</t>
  </si>
  <si>
    <t>95双刀Q</t>
  </si>
  <si>
    <t>95鼠鼠泥鱼</t>
  </si>
  <si>
    <t>鼠鼠</t>
  </si>
  <si>
    <t>95绳镖Q</t>
  </si>
  <si>
    <t>鼠鼠结算</t>
  </si>
  <si>
    <t>结算</t>
  </si>
  <si>
    <t>95九剑Q</t>
  </si>
  <si>
    <t>95九剑Q纵横剑</t>
  </si>
  <si>
    <t>95九剑特殊技</t>
  </si>
  <si>
    <t>剑特殊增伤</t>
  </si>
  <si>
    <t>95九剑特殊技纵横剑</t>
  </si>
  <si>
    <t>95九剑R蓄3段</t>
  </si>
  <si>
    <t>95九枪Q1段</t>
  </si>
  <si>
    <t>95九枪Q打满</t>
  </si>
  <si>
    <t>95九枪特殊技</t>
  </si>
  <si>
    <t>95九枪特殊技一段</t>
  </si>
  <si>
    <t>95九枪特殊技二段</t>
  </si>
  <si>
    <t>95九枪R蓄打满</t>
  </si>
  <si>
    <t>95九枪R蓄刷新</t>
  </si>
  <si>
    <t>95九枪R蓄5层</t>
  </si>
  <si>
    <t>2层流血</t>
  </si>
  <si>
    <t>4层流血</t>
  </si>
  <si>
    <t>5层流血</t>
  </si>
  <si>
    <t>血爆</t>
  </si>
  <si>
    <t>95无名剑武学q1</t>
  </si>
  <si>
    <t>95无名剑武学q2</t>
  </si>
  <si>
    <t>95无名剑武学q3</t>
  </si>
  <si>
    <t>95无名剑蓄力1档</t>
  </si>
  <si>
    <t>95无名剑蓄力2档</t>
  </si>
  <si>
    <t>95无名剑蓄力多道剑气1</t>
  </si>
  <si>
    <t>95无名剑蓄力多道剑气2</t>
  </si>
  <si>
    <t>95无名剑蓄力多道剑气3</t>
  </si>
  <si>
    <t>95无名剑蓄力多道剑气</t>
  </si>
  <si>
    <t>95无名剑特殊技</t>
  </si>
  <si>
    <t>95无名枪武学技</t>
  </si>
  <si>
    <t>95尘绳镖Q</t>
  </si>
  <si>
    <t>95尘绳镖R123</t>
  </si>
  <si>
    <t>95尘绳镖R45</t>
  </si>
  <si>
    <t>95尘绳镖R67</t>
  </si>
  <si>
    <t>95尘绳镖特殊技</t>
  </si>
  <si>
    <t>尘伞结算</t>
  </si>
  <si>
    <t>95尘伞完美Q</t>
  </si>
  <si>
    <t>回旋伞</t>
  </si>
  <si>
    <t>95尘伞共鸣</t>
  </si>
  <si>
    <t>95均陌荡八荒</t>
  </si>
  <si>
    <t>95均陌荡八荒极</t>
  </si>
  <si>
    <t>95均陌蓄力二档下劈</t>
  </si>
  <si>
    <t>95均陌蓄力二档砸地</t>
  </si>
  <si>
    <t>95均陌蓄力三档下劈</t>
  </si>
  <si>
    <t>95均陌蓄力三档砸地</t>
  </si>
  <si>
    <t>95均陌快蓄三档下劈</t>
  </si>
  <si>
    <t>95均陌快蓄三档砸地</t>
  </si>
  <si>
    <t>95横刀武学技滑铲</t>
  </si>
  <si>
    <t>95横刀白刃杀将斩</t>
  </si>
  <si>
    <t>95横刀白刃杀将刺</t>
  </si>
  <si>
    <t>95横刀特殊技突进</t>
  </si>
  <si>
    <t>95横刀特殊技刀光1</t>
  </si>
  <si>
    <t>95横刀特殊技刀光2</t>
  </si>
  <si>
    <t>95横刀轻蓄</t>
  </si>
  <si>
    <t>95横刀轻击派生</t>
  </si>
  <si>
    <t>95横刀拨雪寻春</t>
  </si>
  <si>
    <t>95横刀拨雪寻春强化</t>
  </si>
  <si>
    <t>95横刀安西军</t>
  </si>
  <si>
    <t>95陌刀安西军下劈</t>
  </si>
  <si>
    <t>95陌刀安西军跳劈</t>
  </si>
  <si>
    <t>95陌刀安西军荡八荒</t>
  </si>
  <si>
    <t>95横刀易武技</t>
  </si>
  <si>
    <t>小外</t>
  </si>
  <si>
    <t>大外</t>
  </si>
  <si>
    <t>外功穿透</t>
  </si>
  <si>
    <t>小鸣金</t>
  </si>
  <si>
    <t>大鸣金</t>
  </si>
  <si>
    <t>鸣金穿透</t>
  </si>
  <si>
    <t>小裂石</t>
  </si>
  <si>
    <t>大裂石</t>
  </si>
  <si>
    <t>裂石穿透</t>
  </si>
  <si>
    <t>小牵丝</t>
  </si>
  <si>
    <t>大牵丝</t>
  </si>
  <si>
    <t>牵丝穿透</t>
  </si>
  <si>
    <t>小破竹</t>
  </si>
  <si>
    <t>大破竹</t>
  </si>
  <si>
    <t>破竹穿透</t>
  </si>
  <si>
    <t>精准率</t>
  </si>
  <si>
    <t>会心率</t>
  </si>
  <si>
    <t>会意率</t>
  </si>
  <si>
    <t>直接会心率</t>
  </si>
  <si>
    <t>直接会意率</t>
  </si>
  <si>
    <t>外功伤害加成</t>
  </si>
  <si>
    <t>会心伤害加成</t>
  </si>
  <si>
    <t>会意伤害加成</t>
  </si>
  <si>
    <t>属攻伤害加成</t>
  </si>
  <si>
    <t>全部武学增效</t>
  </si>
  <si>
    <t>首领增伤</t>
  </si>
  <si>
    <t>单体控制增伤</t>
  </si>
  <si>
    <t>单体爆发增伤</t>
  </si>
  <si>
    <t>群体伤害增伤</t>
  </si>
  <si>
    <t>群体异常增伤</t>
  </si>
  <si>
    <t>武器增效1</t>
  </si>
  <si>
    <t>武器增效2</t>
  </si>
  <si>
    <t>轴名称</t>
  </si>
  <si>
    <t>次数</t>
  </si>
  <si>
    <t>气竭</t>
  </si>
  <si>
    <t>易水层数</t>
  </si>
  <si>
    <t>崩解层数</t>
  </si>
  <si>
    <t>低真气</t>
  </si>
  <si>
    <t>加成1</t>
  </si>
  <si>
    <t>加成2</t>
  </si>
  <si>
    <t>加成3</t>
  </si>
  <si>
    <t>加成4</t>
  </si>
  <si>
    <t>加成5</t>
  </si>
  <si>
    <t>加成6</t>
  </si>
  <si>
    <t>加成7</t>
  </si>
  <si>
    <t>时长</t>
  </si>
  <si>
    <t>毕业秒伤</t>
  </si>
  <si>
    <t>连中</t>
  </si>
  <si>
    <t>风墙</t>
  </si>
  <si>
    <t>玉斗</t>
  </si>
  <si>
    <t>重烟</t>
  </si>
  <si>
    <t>烟柳重重</t>
  </si>
  <si>
    <t>纵地</t>
  </si>
  <si>
    <t>大纵地</t>
  </si>
  <si>
    <t>玉低真气追击天赋</t>
  </si>
  <si>
    <t>破阵</t>
  </si>
  <si>
    <t>穿喉1派生</t>
  </si>
  <si>
    <t>断岳</t>
  </si>
  <si>
    <t>穿喉1</t>
  </si>
  <si>
    <t>易伤</t>
  </si>
  <si>
    <t>穿喉2派生</t>
  </si>
  <si>
    <t>穿喉2</t>
  </si>
  <si>
    <t>穿喉3派生</t>
  </si>
  <si>
    <t>穿喉4派生</t>
  </si>
  <si>
    <t>穿喉5派生</t>
  </si>
  <si>
    <t>穿喉5</t>
  </si>
  <si>
    <t>穿喉4</t>
  </si>
  <si>
    <t>连中春飞尽</t>
  </si>
  <si>
    <t>惊春3</t>
  </si>
  <si>
    <t>低真气追击天赋</t>
  </si>
  <si>
    <t>惊春5</t>
  </si>
  <si>
    <t>近战笛</t>
  </si>
  <si>
    <t>恶身</t>
  </si>
  <si>
    <t>燕归增伤</t>
  </si>
  <si>
    <t>轮回</t>
  </si>
  <si>
    <t>嗔炎</t>
  </si>
  <si>
    <t>滴水</t>
  </si>
  <si>
    <t>看破</t>
  </si>
  <si>
    <t>强效江流</t>
  </si>
  <si>
    <t>酒盅</t>
  </si>
  <si>
    <t>迷踪</t>
  </si>
  <si>
    <t>5惊神持续</t>
  </si>
  <si>
    <t>流血结算天赋</t>
  </si>
  <si>
    <t>威猛耐力增伤2%</t>
  </si>
  <si>
    <t>长风</t>
  </si>
  <si>
    <t>无低耐力会意伤害天赋</t>
  </si>
  <si>
    <t>远程笛</t>
  </si>
  <si>
    <t>威猛耐力增伤5%</t>
  </si>
  <si>
    <t>威猛耐力增伤10%</t>
  </si>
  <si>
    <t>非剑气低耐力会意伤害天赋</t>
  </si>
  <si>
    <t>低真气会意伤害天赋</t>
  </si>
  <si>
    <t>无名剑气气竭增伤</t>
  </si>
  <si>
    <t>尘镖绳木5</t>
  </si>
  <si>
    <t>连星2</t>
  </si>
  <si>
    <t>尘镖绳木10</t>
  </si>
  <si>
    <t>连星3</t>
  </si>
  <si>
    <t>失魂落魄</t>
  </si>
  <si>
    <t>尘镖绳木15</t>
  </si>
  <si>
    <t>连星5</t>
  </si>
  <si>
    <t>幻鸣2</t>
  </si>
  <si>
    <t>唐歌2</t>
  </si>
  <si>
    <t>幻鸣4</t>
  </si>
  <si>
    <t>唐歌4</t>
  </si>
  <si>
    <t>幻鸣5</t>
  </si>
  <si>
    <t>唐歌5</t>
  </si>
  <si>
    <t>芳歌</t>
  </si>
  <si>
    <t>连星5-15</t>
  </si>
  <si>
    <t>铁衣戍魂</t>
  </si>
  <si>
    <t>穿喉3</t>
  </si>
  <si>
    <t>胆寒</t>
  </si>
  <si>
    <t>惧刃</t>
  </si>
  <si>
    <t>开山</t>
  </si>
  <si>
    <t>纯唐轴</t>
  </si>
  <si>
    <t>加成名称</t>
  </si>
  <si>
    <t>条件</t>
  </si>
  <si>
    <t>通用区增伤</t>
  </si>
  <si>
    <t>额外外功加成</t>
  </si>
  <si>
    <t>额外会心伤害加成</t>
  </si>
  <si>
    <t>额外会意伤害加成</t>
  </si>
  <si>
    <t>额外直接会心率</t>
  </si>
  <si>
    <t>额外直接会意率</t>
  </si>
  <si>
    <t>无视外防</t>
  </si>
  <si>
    <t>额外外功伤害加成</t>
  </si>
  <si>
    <t>额外鸣金穿透</t>
  </si>
  <si>
    <t>额外破竹穿透</t>
  </si>
  <si>
    <t>额外裂石穿透</t>
  </si>
  <si>
    <t>额外牵丝穿透</t>
  </si>
  <si>
    <t>苦果</t>
  </si>
  <si>
    <t>涌泉</t>
  </si>
  <si>
    <t>江流</t>
  </si>
  <si>
    <t>轻柳</t>
  </si>
  <si>
    <t>烟柳</t>
  </si>
  <si>
    <t>燕归</t>
  </si>
  <si>
    <t>连星</t>
  </si>
  <si>
    <t>急风骤</t>
  </si>
  <si>
    <t>套装名</t>
  </si>
  <si>
    <t>低真气破竹伤害</t>
  </si>
  <si>
    <t>飞隼</t>
  </si>
  <si>
    <t>时雨</t>
  </si>
  <si>
    <t>时雨(无盾)</t>
  </si>
  <si>
    <t>浣花</t>
  </si>
  <si>
    <t>岳山倾</t>
  </si>
  <si>
    <t>词条名称</t>
  </si>
  <si>
    <t>满值</t>
  </si>
  <si>
    <t>换算值</t>
  </si>
  <si>
    <t>劲</t>
  </si>
  <si>
    <t>敏</t>
  </si>
  <si>
    <t>势</t>
  </si>
  <si>
    <t>最小鸣金</t>
  </si>
  <si>
    <t>最大鸣金</t>
  </si>
  <si>
    <t>最小裂石</t>
  </si>
  <si>
    <t>最大裂石</t>
  </si>
  <si>
    <t>最小牵丝</t>
  </si>
  <si>
    <t>最大牵丝</t>
  </si>
  <si>
    <t>最小破竹</t>
  </si>
  <si>
    <t>最大破竹</t>
  </si>
  <si>
    <t>属攻穿透</t>
  </si>
  <si>
    <t>类型</t>
  </si>
  <si>
    <t>前摇(s)</t>
  </si>
  <si>
    <t>出伤点(s)</t>
  </si>
  <si>
    <t>后摇(s)</t>
  </si>
  <si>
    <t>CD</t>
  </si>
  <si>
    <t>附加buff</t>
  </si>
  <si>
    <t>附加buff时长（s）</t>
  </si>
  <si>
    <t>DOT间隔</t>
  </si>
  <si>
    <t>效果</t>
  </si>
  <si>
    <t>/</t>
  </si>
  <si>
    <t>天工火</t>
  </si>
  <si>
    <t>随任意攻击附加，每1s造成1次伤害，一共8次，可重复刷新</t>
  </si>
  <si>
    <t>天工毒</t>
  </si>
  <si>
    <t>极乐泣血刺伤</t>
  </si>
  <si>
    <t>易水歌满5重后随攻击触发，触发cd10s</t>
  </si>
  <si>
    <t>5重骑龙回马1段</t>
  </si>
  <si>
    <t>5重骑龙回马2段</t>
  </si>
  <si>
    <t>5重骑龙回马打满</t>
  </si>
  <si>
    <t>5重神龙吐火一段</t>
  </si>
  <si>
    <t>5重神龙吐火两段</t>
  </si>
  <si>
    <t>5重神龙吐火爆燃每跳</t>
  </si>
  <si>
    <t>5重太白醉月1-4</t>
  </si>
  <si>
    <t>5重太白醉月5</t>
  </si>
  <si>
    <t>5重太白醉月爆炸</t>
  </si>
  <si>
    <t>5重金蟾腾跃震退</t>
  </si>
  <si>
    <t>5重金蟾腾跃一段</t>
  </si>
  <si>
    <t>5重金蟾腾跃毒</t>
  </si>
  <si>
    <t>5重萧吟千浪AOE</t>
  </si>
  <si>
    <t>5重萧吟千浪首轮流星</t>
  </si>
  <si>
    <t>5重箫吟千浪单次后续流星</t>
  </si>
  <si>
    <t>90陌刀R蓄2段</t>
  </si>
  <si>
    <t>90陌刀R蓄3段（2战意）</t>
  </si>
  <si>
    <t>90陌刀R蓄3段（1战意）</t>
  </si>
  <si>
    <t>90陌刀R蓄3段（无战意）</t>
  </si>
  <si>
    <t>90陌刀派生（2战意）</t>
  </si>
  <si>
    <t>90陌刀派生（1战意）</t>
  </si>
  <si>
    <t>90伞左蓄每秒</t>
  </si>
  <si>
    <t>90伞Q</t>
  </si>
  <si>
    <t>90扇Q(近距离命中)</t>
  </si>
  <si>
    <t>90丢伞</t>
  </si>
  <si>
    <t>90不谢花</t>
  </si>
  <si>
    <t>90扇～</t>
  </si>
  <si>
    <t>90扇三连</t>
  </si>
  <si>
    <t>90扇五连</t>
  </si>
  <si>
    <t>90扇左蓄</t>
  </si>
  <si>
    <t>90伞重轻派生</t>
  </si>
  <si>
    <t>90双刀普攻1</t>
  </si>
  <si>
    <t>90双刀普攻2</t>
  </si>
  <si>
    <t>90双刀普攻3</t>
  </si>
  <si>
    <t>90双刀普攻4</t>
  </si>
  <si>
    <t>90双刀红人普攻1</t>
  </si>
  <si>
    <t>90双刀红人普攻2</t>
  </si>
  <si>
    <t>90双刀红人普攻3</t>
  </si>
  <si>
    <t>90双刀红人普攻4</t>
  </si>
  <si>
    <t>90双刀红人普攻5</t>
  </si>
  <si>
    <t>90双刀Q</t>
  </si>
  <si>
    <t>90鼠鼠泥鱼</t>
  </si>
  <si>
    <t>90绳镖Q</t>
  </si>
  <si>
    <t>90九剑Q</t>
  </si>
  <si>
    <t>90九剑Q纵横剑</t>
  </si>
  <si>
    <t>90九剑特殊技</t>
  </si>
  <si>
    <t>90九剑特殊技纵横剑</t>
  </si>
  <si>
    <t>90九剑R蓄3段</t>
  </si>
  <si>
    <t>90九枪Q1段</t>
  </si>
  <si>
    <t>90九枪Q打满</t>
  </si>
  <si>
    <t>90九枪特殊技</t>
  </si>
  <si>
    <t>86九枪特殊技一段</t>
  </si>
  <si>
    <t>87九枪特殊技二段</t>
  </si>
  <si>
    <t>90九枪R蓄打满</t>
  </si>
  <si>
    <t>90九枪R蓄刷新</t>
  </si>
  <si>
    <t>90九枪R蓄5层</t>
  </si>
  <si>
    <t>90无名剑武学q1</t>
  </si>
  <si>
    <t>90无名剑武学q2</t>
  </si>
  <si>
    <t>90无名剑武学q3</t>
  </si>
  <si>
    <t>90无名剑蓄力1档</t>
  </si>
  <si>
    <t>90无名剑蓄力2档</t>
  </si>
  <si>
    <t>90无名剑蓄力多道剑气1</t>
  </si>
  <si>
    <t>90无名剑蓄力多道剑气2</t>
  </si>
  <si>
    <t>90无名剑蓄力多道剑气3</t>
  </si>
  <si>
    <t>90无名剑蓄力多道剑气</t>
  </si>
  <si>
    <t>90无名剑特殊技</t>
  </si>
  <si>
    <t>90无名枪武学技</t>
  </si>
  <si>
    <t>90尘绳镖Q</t>
  </si>
  <si>
    <t>90尘绳镖R123</t>
  </si>
  <si>
    <t>90尘绳镖R45</t>
  </si>
  <si>
    <t>90尘绳镖R67</t>
  </si>
  <si>
    <t>90尘绳镖特殊技</t>
  </si>
  <si>
    <t>90尘伞完美Q</t>
  </si>
  <si>
    <t>90尘伞共鸣</t>
  </si>
  <si>
    <t>90均陌荡八荒</t>
  </si>
  <si>
    <t>90均陌荡八荒极</t>
  </si>
  <si>
    <t>90均陌蓄力二档下劈</t>
  </si>
  <si>
    <t>90均陌蓄力二档砸地</t>
  </si>
  <si>
    <t>90均陌蓄力三档下劈</t>
  </si>
  <si>
    <t>90均陌蓄力三档砸地</t>
  </si>
  <si>
    <t>90均陌快蓄三档下劈</t>
  </si>
  <si>
    <t>90均陌快蓄三档砸地</t>
  </si>
  <si>
    <t>90横刀武学技滑铲</t>
  </si>
  <si>
    <t>90横刀白刃杀将斩</t>
  </si>
  <si>
    <t>90横刀白刃杀将刺</t>
  </si>
  <si>
    <t>90横刀特殊技突进</t>
  </si>
  <si>
    <t>90横刀特殊技刀光1</t>
  </si>
  <si>
    <t>90横刀特殊技刀光2</t>
  </si>
  <si>
    <t>90横刀轻蓄</t>
  </si>
  <si>
    <t>90横刀轻击派生</t>
  </si>
  <si>
    <t>90横刀拨雪寻春</t>
  </si>
  <si>
    <t>90横刀拨雪寻春强化</t>
  </si>
  <si>
    <t>90横刀安西军</t>
  </si>
  <si>
    <t>90陌刀安西军下劈</t>
  </si>
  <si>
    <t>90陌刀安西军跳劈</t>
  </si>
  <si>
    <t>90陌刀安西军荡八荒</t>
  </si>
  <si>
    <t>90横刀易武技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</si>
</sst>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8" applyNumberFormat="0" applyFill="0" applyAlignment="0" applyProtection="0">
      <alignment vertical="center"/>
    </xf>
    <xf numFmtId="0" fontId="10" fillId="0" borderId="28" applyNumberFormat="0" applyFill="0" applyAlignment="0" applyProtection="0">
      <alignment vertical="center"/>
    </xf>
    <xf numFmtId="0" fontId="11" fillId="0" borderId="2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30" applyNumberFormat="0" applyAlignment="0" applyProtection="0">
      <alignment vertical="center"/>
    </xf>
    <xf numFmtId="0" fontId="13" fillId="8" borderId="31" applyNumberFormat="0" applyAlignment="0" applyProtection="0">
      <alignment vertical="center"/>
    </xf>
    <xf numFmtId="0" fontId="14" fillId="8" borderId="30" applyNumberFormat="0" applyAlignment="0" applyProtection="0">
      <alignment vertical="center"/>
    </xf>
    <xf numFmtId="0" fontId="15" fillId="9" borderId="32" applyNumberFormat="0" applyAlignment="0" applyProtection="0">
      <alignment vertical="center"/>
    </xf>
    <xf numFmtId="0" fontId="16" fillId="0" borderId="33" applyNumberFormat="0" applyFill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2" fillId="0" borderId="0" xfId="0" applyFont="1" applyFill="1" applyAlignment="1">
      <alignment vertical="center"/>
    </xf>
    <xf numFmtId="10" fontId="1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right" vertical="center"/>
    </xf>
    <xf numFmtId="9" fontId="0" fillId="2" borderId="2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9" fontId="1" fillId="3" borderId="9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9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9" fontId="1" fillId="3" borderId="5" xfId="0" applyNumberFormat="1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0" fontId="3" fillId="0" borderId="0" xfId="0" applyFont="1">
      <alignment vertical="center"/>
    </xf>
    <xf numFmtId="9" fontId="0" fillId="0" borderId="2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9" fontId="1" fillId="0" borderId="2" xfId="0" applyNumberFormat="1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14" xfId="0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9" fontId="1" fillId="0" borderId="5" xfId="0" applyNumberFormat="1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2" xfId="0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16" xfId="0" applyFont="1" applyBorder="1">
      <alignment vertical="center"/>
    </xf>
    <xf numFmtId="0" fontId="1" fillId="0" borderId="19" xfId="0" applyFont="1" applyBorder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20" xfId="0" applyFont="1" applyBorder="1">
      <alignment vertical="center"/>
    </xf>
    <xf numFmtId="0" fontId="1" fillId="0" borderId="21" xfId="0" applyFont="1" applyBorder="1">
      <alignment vertical="center"/>
    </xf>
    <xf numFmtId="0" fontId="1" fillId="0" borderId="22" xfId="0" applyFont="1" applyBorder="1">
      <alignment vertical="center"/>
    </xf>
    <xf numFmtId="0" fontId="1" fillId="3" borderId="2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9" fontId="1" fillId="0" borderId="22" xfId="0" applyNumberFormat="1" applyFont="1" applyBorder="1" applyAlignment="1">
      <alignment horizontal="center" vertical="center"/>
    </xf>
    <xf numFmtId="9" fontId="1" fillId="0" borderId="23" xfId="0" applyNumberFormat="1" applyFont="1" applyBorder="1" applyAlignment="1">
      <alignment horizontal="center" vertical="center"/>
    </xf>
    <xf numFmtId="0" fontId="1" fillId="0" borderId="24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26" xfId="0" applyFont="1" applyBorder="1">
      <alignment vertical="center"/>
    </xf>
    <xf numFmtId="176" fontId="0" fillId="0" borderId="0" xfId="0" applyNumberFormat="1">
      <alignment vertical="center"/>
    </xf>
    <xf numFmtId="10" fontId="0" fillId="0" borderId="0" xfId="0" applyNumberFormat="1" applyFill="1" applyAlignment="1">
      <alignment horizontal="right" vertical="center"/>
    </xf>
    <xf numFmtId="177" fontId="0" fillId="0" borderId="0" xfId="0" applyNumberFormat="1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10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0" fontId="0" fillId="0" borderId="0" xfId="0" applyFont="1" applyFill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7" fontId="0" fillId="0" borderId="0" xfId="0" applyNumberFormat="1" applyFont="1" applyFill="1" applyAlignment="1" applyProtection="1">
      <alignment horizontal="right" vertical="center"/>
    </xf>
    <xf numFmtId="177" fontId="0" fillId="0" borderId="0" xfId="0" applyNumberFormat="1" applyFont="1" applyFill="1" applyBorder="1" applyAlignment="1" applyProtection="1">
      <alignment horizontal="right" vertical="center"/>
    </xf>
    <xf numFmtId="10" fontId="1" fillId="0" borderId="0" xfId="0" applyNumberFormat="1" applyFo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1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tablet\OriginOS\Documents\WPS%20Cloud%20Files\.666080864\cachedata\EB724D5AA7024259B36A2156BA6ADE19\\Users\zhuzh\Desktop\&#29141;&#20113;&#35745;&#31639;&#22120;\v1.31&#22269;&#38469;&#26381;&#20840;&#27969;&#27966;&#27605;&#19994;&#24230;&#35745;&#31639;&#22120;&#26412;&#22320;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面板区"/>
      <sheetName val="毕业面板"/>
      <sheetName val="计算区"/>
      <sheetName val="增伤区"/>
      <sheetName val="武器奇术"/>
      <sheetName val="流派"/>
      <sheetName val="轴"/>
      <sheetName val="目标属性"/>
      <sheetName val="心法"/>
      <sheetName val="套装"/>
      <sheetName val="更新日志"/>
    </sheetNames>
    <sheetDataSet>
      <sheetData sheetId="0" refreshError="1">
        <row r="8">
          <cell r="J8" t="str">
            <v>心法一</v>
          </cell>
          <cell r="K8" t="str">
            <v>忘川绝响</v>
          </cell>
          <cell r="L8" t="str">
            <v>心法二</v>
          </cell>
          <cell r="M8" t="str">
            <v>心弥泥鱼</v>
          </cell>
          <cell r="N8" t="str">
            <v>心法三</v>
          </cell>
          <cell r="O8" t="str">
            <v>极乐泣血</v>
          </cell>
          <cell r="P8" t="str">
            <v>心法四</v>
          </cell>
          <cell r="Q8" t="str">
            <v>断石之构</v>
          </cell>
        </row>
        <row r="10">
          <cell r="J10" t="str">
            <v>重数</v>
          </cell>
          <cell r="K10" t="str">
            <v>六重</v>
          </cell>
          <cell r="L10" t="str">
            <v>重数</v>
          </cell>
          <cell r="M10" t="str">
            <v>六重</v>
          </cell>
          <cell r="N10" t="str">
            <v>重数</v>
          </cell>
          <cell r="O10" t="str">
            <v>六重</v>
          </cell>
          <cell r="P10" t="str">
            <v>重数</v>
          </cell>
          <cell r="Q10" t="str">
            <v>六重</v>
          </cell>
        </row>
        <row r="15">
          <cell r="O15" t="str">
            <v>飞隼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H6" sqref="H6"/>
    </sheetView>
  </sheetViews>
  <sheetFormatPr defaultColWidth="8.88888888888889" defaultRowHeight="14.4" outlineLevelCol="4"/>
  <cols>
    <col min="1" max="1" width="14.11111111111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 s="90" t="s">
        <v>4</v>
      </c>
      <c r="B2" s="90">
        <v>10</v>
      </c>
      <c r="C2" s="91">
        <v>15</v>
      </c>
      <c r="D2" s="91">
        <v>40</v>
      </c>
    </row>
    <row r="3" spans="1:5">
      <c r="A3" s="90" t="s">
        <v>5</v>
      </c>
      <c r="B3" s="90">
        <v>29</v>
      </c>
      <c r="C3" s="91">
        <v>15</v>
      </c>
      <c r="D3" s="91">
        <v>40</v>
      </c>
    </row>
    <row r="4" spans="1:5">
      <c r="A4" s="90" t="s">
        <v>6</v>
      </c>
      <c r="B4" s="90">
        <v>58</v>
      </c>
      <c r="C4" s="91">
        <v>15</v>
      </c>
      <c r="D4" s="91">
        <v>40</v>
      </c>
    </row>
    <row r="5" spans="1:5">
      <c r="A5" s="90" t="s">
        <v>7</v>
      </c>
      <c r="B5" s="90">
        <v>270</v>
      </c>
      <c r="C5" s="91">
        <v>15</v>
      </c>
      <c r="D5" s="91">
        <v>40</v>
      </c>
    </row>
    <row r="6" spans="1:5">
      <c r="A6" s="90" t="s">
        <v>8</v>
      </c>
      <c r="B6" s="90">
        <v>307</v>
      </c>
      <c r="C6" s="91">
        <v>15</v>
      </c>
      <c r="D6" s="91">
        <v>10</v>
      </c>
    </row>
    <row r="7" spans="1:5">
      <c r="A7" s="90" t="s">
        <v>9</v>
      </c>
      <c r="B7" s="90">
        <v>307</v>
      </c>
      <c r="C7" s="91">
        <v>15</v>
      </c>
      <c r="D7" s="91">
        <v>10</v>
      </c>
    </row>
    <row r="8" spans="1:5">
      <c r="A8" s="56" t="s">
        <v>10</v>
      </c>
      <c r="B8" s="56">
        <v>350</v>
      </c>
      <c r="C8" s="92">
        <v>15</v>
      </c>
      <c r="D8" s="92">
        <v>10</v>
      </c>
      <c r="E8" s="56"/>
    </row>
    <row r="9" spans="1:5">
      <c r="A9" s="56" t="s">
        <v>11</v>
      </c>
      <c r="B9" s="56">
        <v>350</v>
      </c>
      <c r="C9" s="92">
        <v>15</v>
      </c>
      <c r="D9" s="92">
        <v>10</v>
      </c>
      <c r="E9" s="5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"/>
  <sheetViews>
    <sheetView topLeftCell="B1" workbookViewId="0">
      <selection activeCell="R5" sqref="R5"/>
    </sheetView>
  </sheetViews>
  <sheetFormatPr defaultColWidth="8.88888888888889" defaultRowHeight="14.4" outlineLevelRow="7"/>
  <sheetData>
    <row r="1" spans="1:2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</row>
    <row r="2" spans="1:23">
      <c r="A2" t="s">
        <v>35</v>
      </c>
      <c r="B2" t="s">
        <v>36</v>
      </c>
      <c r="C2">
        <v>54.8</v>
      </c>
      <c r="D2" t="s">
        <v>37</v>
      </c>
      <c r="E2" t="s">
        <v>38</v>
      </c>
      <c r="F2" t="s">
        <v>38</v>
      </c>
      <c r="G2" s="11" t="s">
        <v>39</v>
      </c>
      <c r="H2" s="11" t="s">
        <v>40</v>
      </c>
      <c r="I2" s="11" t="s">
        <v>41</v>
      </c>
      <c r="J2" s="11" t="s">
        <v>42</v>
      </c>
      <c r="K2" s="11" t="s">
        <v>43</v>
      </c>
      <c r="L2" s="11" t="s">
        <v>44</v>
      </c>
      <c r="M2" s="11"/>
      <c r="N2" s="11"/>
      <c r="O2" s="11"/>
      <c r="P2" s="11"/>
      <c r="Q2" t="s">
        <v>45</v>
      </c>
      <c r="T2" t="s">
        <v>46</v>
      </c>
      <c r="U2" t="s">
        <v>47</v>
      </c>
      <c r="V2" t="s">
        <v>48</v>
      </c>
      <c r="W2" t="s">
        <v>49</v>
      </c>
    </row>
    <row r="3" spans="1:23">
      <c r="A3" t="s">
        <v>50</v>
      </c>
      <c r="B3" t="s">
        <v>36</v>
      </c>
      <c r="C3">
        <v>54.8</v>
      </c>
      <c r="D3" t="s">
        <v>51</v>
      </c>
      <c r="E3" t="s">
        <v>38</v>
      </c>
      <c r="F3" t="s">
        <v>38</v>
      </c>
      <c r="G3" s="11" t="s">
        <v>52</v>
      </c>
      <c r="H3" s="11" t="s">
        <v>40</v>
      </c>
      <c r="I3" s="11" t="s">
        <v>53</v>
      </c>
      <c r="J3" s="11" t="s">
        <v>54</v>
      </c>
      <c r="K3" s="11" t="s">
        <v>43</v>
      </c>
      <c r="L3" s="11" t="s">
        <v>44</v>
      </c>
      <c r="M3" s="11" t="s">
        <v>55</v>
      </c>
      <c r="N3" s="11"/>
      <c r="O3" s="11"/>
      <c r="P3" s="11"/>
      <c r="Q3" t="s">
        <v>56</v>
      </c>
      <c r="R3" t="s">
        <v>57</v>
      </c>
      <c r="T3" t="s">
        <v>46</v>
      </c>
      <c r="U3" t="s">
        <v>47</v>
      </c>
      <c r="V3" t="s">
        <v>48</v>
      </c>
      <c r="W3" t="s">
        <v>49</v>
      </c>
    </row>
    <row r="4" spans="1:23">
      <c r="A4" t="s">
        <v>58</v>
      </c>
      <c r="B4" t="s">
        <v>59</v>
      </c>
      <c r="C4">
        <v>54.8</v>
      </c>
      <c r="D4" t="s">
        <v>60</v>
      </c>
      <c r="E4" t="s">
        <v>61</v>
      </c>
      <c r="F4" t="s">
        <v>38</v>
      </c>
      <c r="G4" s="11" t="s">
        <v>62</v>
      </c>
      <c r="H4" s="11" t="s">
        <v>40</v>
      </c>
      <c r="I4" s="11" t="s">
        <v>63</v>
      </c>
      <c r="J4" s="11" t="s">
        <v>41</v>
      </c>
      <c r="K4" s="11" t="s">
        <v>43</v>
      </c>
      <c r="L4" s="11" t="s">
        <v>44</v>
      </c>
      <c r="M4" s="11" t="s">
        <v>55</v>
      </c>
      <c r="N4" s="11" t="s">
        <v>64</v>
      </c>
      <c r="O4" s="11"/>
      <c r="P4" s="11"/>
      <c r="Q4" t="s">
        <v>65</v>
      </c>
      <c r="R4" t="s">
        <v>66</v>
      </c>
      <c r="T4" t="s">
        <v>61</v>
      </c>
      <c r="U4" t="s">
        <v>67</v>
      </c>
      <c r="V4" t="s">
        <v>68</v>
      </c>
      <c r="W4" t="s">
        <v>69</v>
      </c>
    </row>
    <row r="5" spans="1:23">
      <c r="A5" t="s">
        <v>70</v>
      </c>
      <c r="B5" t="s">
        <v>71</v>
      </c>
      <c r="C5">
        <v>0</v>
      </c>
      <c r="D5" t="s">
        <v>72</v>
      </c>
      <c r="E5" t="s">
        <v>38</v>
      </c>
      <c r="F5" t="s">
        <v>38</v>
      </c>
      <c r="G5" s="11" t="s">
        <v>73</v>
      </c>
      <c r="H5" s="11" t="s">
        <v>40</v>
      </c>
      <c r="I5" s="11" t="s">
        <v>41</v>
      </c>
      <c r="J5" s="11" t="s">
        <v>74</v>
      </c>
      <c r="K5" s="11" t="s">
        <v>43</v>
      </c>
      <c r="L5" s="11" t="s">
        <v>44</v>
      </c>
      <c r="M5" s="11" t="s">
        <v>75</v>
      </c>
      <c r="N5" s="11" t="s">
        <v>76</v>
      </c>
      <c r="O5" s="11"/>
      <c r="P5" s="11"/>
      <c r="Q5" t="s">
        <v>77</v>
      </c>
      <c r="T5" t="s">
        <v>78</v>
      </c>
      <c r="U5" t="s">
        <v>47</v>
      </c>
      <c r="V5" t="s">
        <v>79</v>
      </c>
      <c r="W5" t="s">
        <v>49</v>
      </c>
    </row>
    <row r="6" spans="1:23">
      <c r="A6" t="s">
        <v>80</v>
      </c>
      <c r="B6" t="s">
        <v>71</v>
      </c>
      <c r="C6">
        <v>54.8</v>
      </c>
      <c r="D6" t="s">
        <v>81</v>
      </c>
      <c r="E6" t="s">
        <v>82</v>
      </c>
      <c r="F6" t="s">
        <v>38</v>
      </c>
      <c r="G6" t="s">
        <v>83</v>
      </c>
      <c r="H6" t="s">
        <v>40</v>
      </c>
      <c r="I6" t="s">
        <v>76</v>
      </c>
      <c r="J6" t="s">
        <v>84</v>
      </c>
      <c r="K6" t="s">
        <v>64</v>
      </c>
      <c r="L6" t="s">
        <v>44</v>
      </c>
      <c r="M6" t="s">
        <v>55</v>
      </c>
      <c r="N6" t="s">
        <v>43</v>
      </c>
      <c r="O6" t="s">
        <v>41</v>
      </c>
      <c r="P6" s="11" t="s">
        <v>74</v>
      </c>
      <c r="Q6" t="s">
        <v>85</v>
      </c>
      <c r="T6" s="60" t="s">
        <v>86</v>
      </c>
      <c r="U6" s="60" t="s">
        <v>78</v>
      </c>
      <c r="V6" s="60" t="s">
        <v>87</v>
      </c>
      <c r="W6" s="60" t="s">
        <v>79</v>
      </c>
    </row>
    <row r="7" spans="1:23">
      <c r="A7" t="s">
        <v>88</v>
      </c>
      <c r="B7" t="s">
        <v>89</v>
      </c>
      <c r="C7">
        <v>54.8</v>
      </c>
      <c r="D7" t="s">
        <v>90</v>
      </c>
      <c r="E7" t="s">
        <v>91</v>
      </c>
      <c r="F7" t="s">
        <v>38</v>
      </c>
      <c r="G7" s="11" t="s">
        <v>92</v>
      </c>
      <c r="H7" s="11" t="s">
        <v>40</v>
      </c>
      <c r="I7" s="11" t="s">
        <v>93</v>
      </c>
      <c r="J7" s="11" t="s">
        <v>64</v>
      </c>
      <c r="K7" s="11" t="s">
        <v>43</v>
      </c>
      <c r="L7" s="11" t="s">
        <v>44</v>
      </c>
      <c r="M7" s="11" t="s">
        <v>55</v>
      </c>
      <c r="N7" s="11"/>
      <c r="O7" s="11"/>
      <c r="P7" s="11"/>
      <c r="Q7" t="s">
        <v>94</v>
      </c>
      <c r="T7" t="s">
        <v>95</v>
      </c>
      <c r="U7" t="s">
        <v>96</v>
      </c>
      <c r="V7" t="s">
        <v>97</v>
      </c>
      <c r="W7" t="s">
        <v>98</v>
      </c>
    </row>
    <row r="8" spans="1:23">
      <c r="A8" t="s">
        <v>99</v>
      </c>
      <c r="B8" t="s">
        <v>89</v>
      </c>
      <c r="C8">
        <v>54.8</v>
      </c>
      <c r="D8" t="s">
        <v>61</v>
      </c>
      <c r="E8" t="s">
        <v>38</v>
      </c>
      <c r="F8" t="s">
        <v>38</v>
      </c>
      <c r="G8" t="s">
        <v>100</v>
      </c>
      <c r="H8" s="11" t="s">
        <v>40</v>
      </c>
      <c r="I8" s="11" t="s">
        <v>101</v>
      </c>
      <c r="J8" s="11" t="s">
        <v>102</v>
      </c>
      <c r="K8" s="11" t="s">
        <v>43</v>
      </c>
      <c r="L8" s="11" t="s">
        <v>55</v>
      </c>
      <c r="M8" s="11" t="s">
        <v>44</v>
      </c>
      <c r="N8" s="11"/>
      <c r="O8" s="11"/>
      <c r="P8" s="11"/>
      <c r="Q8" t="s">
        <v>103</v>
      </c>
      <c r="R8" t="s">
        <v>104</v>
      </c>
      <c r="T8" s="11" t="s">
        <v>61</v>
      </c>
      <c r="U8" s="11" t="s">
        <v>96</v>
      </c>
      <c r="V8" s="11" t="s">
        <v>68</v>
      </c>
      <c r="W8" s="11" t="s">
        <v>98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8"/>
  <sheetViews>
    <sheetView topLeftCell="A7" workbookViewId="0">
      <selection activeCell="G23" sqref="G23"/>
    </sheetView>
  </sheetViews>
  <sheetFormatPr defaultColWidth="8.88888888888889" defaultRowHeight="14.4"/>
  <cols>
    <col min="1" max="1" width="19.6666666666667" customWidth="1"/>
    <col min="3" max="3" width="9.66666666666667"/>
  </cols>
  <sheetData>
    <row r="1" spans="1:23">
      <c r="A1" s="1" t="s">
        <v>105</v>
      </c>
      <c r="B1" s="76" t="s">
        <v>106</v>
      </c>
      <c r="C1" s="77" t="s">
        <v>107</v>
      </c>
      <c r="D1" s="76" t="s">
        <v>108</v>
      </c>
      <c r="E1" s="77" t="s">
        <v>109</v>
      </c>
      <c r="F1" s="76" t="s">
        <v>110</v>
      </c>
      <c r="G1" s="77" t="s">
        <v>111</v>
      </c>
      <c r="H1" s="76" t="s">
        <v>112</v>
      </c>
      <c r="I1" s="77" t="s">
        <v>113</v>
      </c>
      <c r="J1" s="76" t="s">
        <v>114</v>
      </c>
      <c r="K1" s="76" t="s">
        <v>115</v>
      </c>
      <c r="L1" s="76" t="s">
        <v>116</v>
      </c>
      <c r="M1" s="76" t="s">
        <v>117</v>
      </c>
      <c r="N1" s="76" t="s">
        <v>118</v>
      </c>
      <c r="O1" s="76" t="s">
        <v>119</v>
      </c>
      <c r="P1" s="77" t="s">
        <v>120</v>
      </c>
      <c r="Q1" s="78" t="s">
        <v>121</v>
      </c>
      <c r="R1" s="78" t="s">
        <v>122</v>
      </c>
      <c r="S1" s="78" t="s">
        <v>123</v>
      </c>
      <c r="T1" s="78" t="s">
        <v>124</v>
      </c>
      <c r="U1" s="78" t="s">
        <v>125</v>
      </c>
      <c r="V1" s="78" t="s">
        <v>126</v>
      </c>
      <c r="W1" s="79" t="s">
        <v>127</v>
      </c>
    </row>
    <row r="2" spans="1:23">
      <c r="A2" s="2" t="s">
        <v>38</v>
      </c>
      <c r="B2" s="80">
        <v>0</v>
      </c>
      <c r="C2" s="81">
        <v>0</v>
      </c>
      <c r="D2" s="80">
        <v>0</v>
      </c>
      <c r="E2" s="81">
        <v>0</v>
      </c>
      <c r="F2" s="76"/>
      <c r="G2" s="77"/>
      <c r="H2" s="76"/>
      <c r="I2" s="77"/>
      <c r="J2" s="76"/>
      <c r="K2" s="76"/>
      <c r="L2" s="76"/>
      <c r="M2" s="76"/>
      <c r="N2" s="76">
        <v>1</v>
      </c>
      <c r="O2" s="76"/>
      <c r="P2" s="77"/>
      <c r="Q2" s="82">
        <v>0</v>
      </c>
      <c r="R2" s="82" t="s">
        <v>128</v>
      </c>
      <c r="S2" s="82" t="s">
        <v>38</v>
      </c>
      <c r="T2" s="82" t="s">
        <v>13</v>
      </c>
      <c r="U2" s="82"/>
      <c r="V2" s="78"/>
      <c r="W2" s="79"/>
    </row>
    <row r="3" spans="1:23">
      <c r="A3" s="3" t="s">
        <v>129</v>
      </c>
      <c r="B3" s="80">
        <v>0.262</v>
      </c>
      <c r="C3" s="81"/>
      <c r="D3" s="80"/>
      <c r="E3" s="81"/>
      <c r="F3" s="76"/>
      <c r="G3" s="77"/>
      <c r="H3" s="76"/>
      <c r="I3" s="77"/>
      <c r="J3" s="76"/>
      <c r="K3" s="76"/>
      <c r="L3" s="76"/>
      <c r="M3" s="76"/>
      <c r="N3" s="76">
        <v>1</v>
      </c>
      <c r="O3" s="76"/>
      <c r="P3" s="77"/>
      <c r="Q3" s="82">
        <v>0</v>
      </c>
      <c r="R3" s="82" t="s">
        <v>128</v>
      </c>
      <c r="S3" s="82" t="s">
        <v>38</v>
      </c>
      <c r="T3" s="82" t="s">
        <v>13</v>
      </c>
      <c r="U3" s="82" t="s">
        <v>128</v>
      </c>
      <c r="V3" s="78"/>
      <c r="W3" s="79"/>
    </row>
    <row r="4" spans="1:23">
      <c r="A4" s="3" t="s">
        <v>130</v>
      </c>
      <c r="B4" s="80">
        <v>0.161</v>
      </c>
      <c r="C4" s="81"/>
      <c r="D4" s="80"/>
      <c r="E4" s="81"/>
      <c r="F4" s="76"/>
      <c r="G4" s="77"/>
      <c r="H4" s="76"/>
      <c r="I4" s="77"/>
      <c r="J4" s="76"/>
      <c r="K4" s="76"/>
      <c r="L4" s="76"/>
      <c r="M4" s="76"/>
      <c r="N4" s="76">
        <v>1</v>
      </c>
      <c r="O4" s="76"/>
      <c r="P4" s="77"/>
      <c r="Q4" s="82">
        <v>0</v>
      </c>
      <c r="R4" s="82" t="s">
        <v>128</v>
      </c>
      <c r="S4" s="82" t="s">
        <v>38</v>
      </c>
      <c r="T4" s="82" t="s">
        <v>13</v>
      </c>
      <c r="U4" s="82" t="s">
        <v>128</v>
      </c>
      <c r="V4" s="78"/>
      <c r="W4" s="79"/>
    </row>
    <row r="5" spans="1:23">
      <c r="A5" s="4" t="s">
        <v>64</v>
      </c>
      <c r="B5" s="80">
        <v>2</v>
      </c>
      <c r="C5" s="81"/>
      <c r="D5" s="80"/>
      <c r="E5" s="81"/>
      <c r="F5" s="76"/>
      <c r="G5" s="77"/>
      <c r="H5" s="76"/>
      <c r="I5" s="77"/>
      <c r="J5" s="76"/>
      <c r="K5" s="76"/>
      <c r="L5" s="76"/>
      <c r="M5" s="76"/>
      <c r="N5" s="76">
        <v>1</v>
      </c>
      <c r="O5" s="76"/>
      <c r="P5" s="77"/>
      <c r="Q5" s="83">
        <v>0</v>
      </c>
      <c r="R5" s="83" t="s">
        <v>131</v>
      </c>
      <c r="S5" s="83" t="s">
        <v>38</v>
      </c>
      <c r="T5" s="82" t="s">
        <v>13</v>
      </c>
      <c r="U5" s="82" t="s">
        <v>132</v>
      </c>
      <c r="V5" s="78"/>
      <c r="W5" s="79"/>
    </row>
    <row r="6" spans="1:23">
      <c r="A6" s="3" t="s">
        <v>133</v>
      </c>
      <c r="B6" s="80">
        <v>1</v>
      </c>
      <c r="C6" s="81"/>
      <c r="D6" s="80"/>
      <c r="E6" s="81"/>
      <c r="F6" s="76"/>
      <c r="G6" s="77"/>
      <c r="H6" s="76"/>
      <c r="I6" s="77"/>
      <c r="J6" s="76"/>
      <c r="K6" s="76"/>
      <c r="L6" s="76"/>
      <c r="M6" s="76"/>
      <c r="N6" s="76">
        <v>1</v>
      </c>
      <c r="O6" s="76"/>
      <c r="P6" s="77"/>
      <c r="Q6" s="83">
        <v>0</v>
      </c>
      <c r="R6" s="83" t="s">
        <v>131</v>
      </c>
      <c r="S6" s="83" t="s">
        <v>38</v>
      </c>
      <c r="T6" s="82" t="s">
        <v>13</v>
      </c>
      <c r="U6" s="82" t="s">
        <v>134</v>
      </c>
      <c r="V6" s="78"/>
      <c r="W6" s="79"/>
    </row>
    <row r="7" spans="1:23">
      <c r="A7" s="2"/>
      <c r="B7" s="80"/>
      <c r="C7" s="81"/>
      <c r="D7" s="80"/>
      <c r="E7" s="81"/>
      <c r="F7" s="76"/>
      <c r="G7" s="77"/>
      <c r="H7" s="76"/>
      <c r="I7" s="77"/>
      <c r="J7" s="76"/>
      <c r="K7" s="76"/>
      <c r="L7" s="76"/>
      <c r="M7" s="76"/>
      <c r="N7" s="76">
        <v>1</v>
      </c>
      <c r="O7" s="76"/>
      <c r="P7" s="77"/>
      <c r="Q7" s="78"/>
      <c r="R7" s="78"/>
      <c r="S7" s="78"/>
      <c r="T7" s="78"/>
      <c r="U7" s="78"/>
      <c r="V7" s="78"/>
      <c r="W7" s="79"/>
    </row>
    <row r="8" spans="1:23">
      <c r="A8" s="2" t="s">
        <v>135</v>
      </c>
      <c r="B8" s="80">
        <v>3.1951</v>
      </c>
      <c r="C8" s="81">
        <v>432</v>
      </c>
      <c r="D8" s="80">
        <v>4.79265</v>
      </c>
      <c r="E8" s="81"/>
      <c r="F8" s="76"/>
      <c r="G8" s="77"/>
      <c r="H8" s="76"/>
      <c r="I8" s="77"/>
      <c r="J8" s="76"/>
      <c r="K8" s="76"/>
      <c r="L8" s="76">
        <v>0</v>
      </c>
      <c r="M8" s="76">
        <v>0</v>
      </c>
      <c r="N8" s="76">
        <v>1</v>
      </c>
      <c r="O8" s="76"/>
      <c r="P8" s="77"/>
      <c r="Q8" s="78"/>
      <c r="R8" s="78" t="s">
        <v>136</v>
      </c>
      <c r="S8" s="78" t="s">
        <v>137</v>
      </c>
      <c r="T8" s="82" t="s">
        <v>13</v>
      </c>
      <c r="U8" s="78"/>
      <c r="V8" s="78"/>
      <c r="W8" s="79"/>
    </row>
    <row r="9" spans="1:23">
      <c r="A9" s="2" t="s">
        <v>138</v>
      </c>
      <c r="B9" s="80">
        <v>3.9051</v>
      </c>
      <c r="C9" s="81">
        <v>528</v>
      </c>
      <c r="D9" s="80">
        <v>5.85765</v>
      </c>
      <c r="E9" s="81"/>
      <c r="F9" s="76"/>
      <c r="G9" s="77"/>
      <c r="H9" s="76"/>
      <c r="I9" s="77"/>
      <c r="J9" s="76"/>
      <c r="K9" s="76"/>
      <c r="L9" s="76">
        <v>0</v>
      </c>
      <c r="M9" s="76">
        <v>0</v>
      </c>
      <c r="N9" s="76">
        <v>1</v>
      </c>
      <c r="O9" s="76"/>
      <c r="P9" s="77"/>
      <c r="Q9" s="78"/>
      <c r="R9" s="78" t="s">
        <v>136</v>
      </c>
      <c r="S9" s="78" t="s">
        <v>137</v>
      </c>
      <c r="T9" s="82" t="s">
        <v>13</v>
      </c>
      <c r="U9" s="78"/>
      <c r="V9" s="78"/>
      <c r="W9" s="79"/>
    </row>
    <row r="10" spans="1:23">
      <c r="A10" s="3" t="s">
        <v>139</v>
      </c>
      <c r="B10" s="80">
        <v>7.1002</v>
      </c>
      <c r="C10" s="81">
        <v>960</v>
      </c>
      <c r="D10" s="80">
        <v>10.6503</v>
      </c>
      <c r="E10" s="81"/>
      <c r="F10" s="76"/>
      <c r="G10" s="77"/>
      <c r="H10" s="76"/>
      <c r="I10" s="77"/>
      <c r="J10" s="76"/>
      <c r="K10" s="76"/>
      <c r="L10" s="76">
        <v>0</v>
      </c>
      <c r="M10" s="76">
        <v>0</v>
      </c>
      <c r="N10" s="76">
        <v>1</v>
      </c>
      <c r="O10" s="76"/>
      <c r="P10" s="77"/>
      <c r="Q10" s="78"/>
      <c r="R10" s="78" t="s">
        <v>136</v>
      </c>
      <c r="S10" s="78" t="s">
        <v>137</v>
      </c>
      <c r="T10" s="82" t="s">
        <v>13</v>
      </c>
      <c r="U10" s="78"/>
      <c r="V10" s="78"/>
      <c r="W10" s="79"/>
    </row>
    <row r="11" spans="1:23">
      <c r="A11" s="3" t="s">
        <v>140</v>
      </c>
      <c r="B11" s="80">
        <v>0.90673</v>
      </c>
      <c r="C11" s="81">
        <v>122.33</v>
      </c>
      <c r="D11" s="80">
        <v>1.360095</v>
      </c>
      <c r="E11" s="81"/>
      <c r="F11" s="76"/>
      <c r="G11" s="77"/>
      <c r="H11" s="76"/>
      <c r="I11" s="77"/>
      <c r="J11" s="76"/>
      <c r="K11" s="76"/>
      <c r="L11" s="76">
        <v>0</v>
      </c>
      <c r="M11" s="76">
        <v>0</v>
      </c>
      <c r="N11" s="76">
        <v>1</v>
      </c>
      <c r="O11" s="76"/>
      <c r="P11" s="77"/>
      <c r="Q11" s="78"/>
      <c r="R11" s="78" t="s">
        <v>136</v>
      </c>
      <c r="S11" s="78" t="s">
        <v>141</v>
      </c>
      <c r="T11" s="82" t="s">
        <v>13</v>
      </c>
      <c r="U11" s="78"/>
      <c r="V11" s="78"/>
      <c r="W11" s="79"/>
    </row>
    <row r="12" spans="1:23">
      <c r="A12" s="3" t="s">
        <v>142</v>
      </c>
      <c r="B12" s="80">
        <v>1.81346</v>
      </c>
      <c r="C12" s="81">
        <v>244.67</v>
      </c>
      <c r="D12" s="80">
        <v>2.72019</v>
      </c>
      <c r="E12" s="81"/>
      <c r="F12" s="76"/>
      <c r="G12" s="77"/>
      <c r="H12" s="76"/>
      <c r="I12" s="77"/>
      <c r="J12" s="76"/>
      <c r="K12" s="76"/>
      <c r="L12" s="76">
        <v>0</v>
      </c>
      <c r="M12" s="76">
        <v>0</v>
      </c>
      <c r="N12" s="76">
        <v>1</v>
      </c>
      <c r="O12" s="76"/>
      <c r="P12" s="77"/>
      <c r="Q12" s="78"/>
      <c r="R12" s="78" t="s">
        <v>136</v>
      </c>
      <c r="S12" s="78" t="s">
        <v>141</v>
      </c>
      <c r="T12" s="82" t="s">
        <v>13</v>
      </c>
      <c r="U12" s="78"/>
      <c r="V12" s="78"/>
      <c r="W12" s="79"/>
    </row>
    <row r="13" spans="1:23">
      <c r="A13" s="3" t="s">
        <v>143</v>
      </c>
      <c r="B13" s="80">
        <v>0.2953</v>
      </c>
      <c r="C13" s="81">
        <v>39</v>
      </c>
      <c r="D13" s="80">
        <v>0.2953</v>
      </c>
      <c r="E13" s="81"/>
      <c r="F13" s="76"/>
      <c r="G13" s="77"/>
      <c r="H13" s="76"/>
      <c r="I13" s="77"/>
      <c r="J13" s="76"/>
      <c r="K13" s="76"/>
      <c r="L13" s="76">
        <v>0</v>
      </c>
      <c r="M13" s="76">
        <v>0</v>
      </c>
      <c r="N13" s="76">
        <v>1</v>
      </c>
      <c r="O13" s="76"/>
      <c r="P13" s="77"/>
      <c r="Q13" s="78"/>
      <c r="R13" s="78" t="s">
        <v>136</v>
      </c>
      <c r="S13" s="78" t="s">
        <v>141</v>
      </c>
      <c r="T13" s="82" t="s">
        <v>13</v>
      </c>
      <c r="U13" s="78" t="s">
        <v>144</v>
      </c>
      <c r="V13" s="78"/>
      <c r="W13" s="79"/>
    </row>
    <row r="14" spans="1:23">
      <c r="A14" s="3" t="s">
        <v>145</v>
      </c>
      <c r="B14" s="80">
        <v>1.023</v>
      </c>
      <c r="C14" s="81">
        <v>138</v>
      </c>
      <c r="D14" s="80">
        <v>1.5345</v>
      </c>
      <c r="E14" s="81"/>
      <c r="F14" s="84"/>
      <c r="G14" s="85"/>
      <c r="H14" s="84"/>
      <c r="I14" s="86"/>
      <c r="J14" s="76"/>
      <c r="K14" s="76"/>
      <c r="L14" s="76">
        <v>0</v>
      </c>
      <c r="M14" s="76">
        <v>0</v>
      </c>
      <c r="N14" s="76">
        <v>1</v>
      </c>
      <c r="O14" s="84"/>
      <c r="P14" s="85"/>
      <c r="Q14" s="79"/>
      <c r="R14" s="78" t="s">
        <v>136</v>
      </c>
      <c r="S14" s="78" t="s">
        <v>141</v>
      </c>
      <c r="T14" s="82" t="s">
        <v>13</v>
      </c>
      <c r="U14" s="78"/>
      <c r="V14" s="79"/>
      <c r="W14" s="79"/>
    </row>
    <row r="15" spans="1:23">
      <c r="A15" s="3" t="s">
        <v>146</v>
      </c>
      <c r="B15" s="80">
        <v>1.705</v>
      </c>
      <c r="C15" s="81">
        <v>230</v>
      </c>
      <c r="D15" s="80">
        <v>2.5575</v>
      </c>
      <c r="E15" s="81"/>
      <c r="F15" s="84"/>
      <c r="G15" s="85"/>
      <c r="H15" s="84"/>
      <c r="I15" s="86"/>
      <c r="J15" s="76"/>
      <c r="K15" s="76"/>
      <c r="L15" s="76">
        <v>0</v>
      </c>
      <c r="M15" s="76">
        <v>0</v>
      </c>
      <c r="N15" s="76">
        <v>1</v>
      </c>
      <c r="O15" s="84">
        <v>0.8</v>
      </c>
      <c r="P15" s="85"/>
      <c r="Q15" s="79"/>
      <c r="R15" s="78" t="s">
        <v>136</v>
      </c>
      <c r="S15" s="78" t="s">
        <v>141</v>
      </c>
      <c r="T15" s="82" t="s">
        <v>13</v>
      </c>
      <c r="U15" s="78"/>
      <c r="V15" s="79"/>
      <c r="W15" s="79"/>
    </row>
    <row r="16" spans="1:23">
      <c r="A16" s="3" t="s">
        <v>147</v>
      </c>
      <c r="B16" s="80">
        <v>0.7015</v>
      </c>
      <c r="C16" s="81">
        <v>94</v>
      </c>
      <c r="D16" s="80">
        <v>0.7015</v>
      </c>
      <c r="E16" s="81"/>
      <c r="F16" s="84"/>
      <c r="G16" s="85"/>
      <c r="H16" s="84"/>
      <c r="I16" s="86"/>
      <c r="J16" s="76"/>
      <c r="K16" s="76"/>
      <c r="L16" s="76">
        <v>0</v>
      </c>
      <c r="M16" s="76">
        <v>0</v>
      </c>
      <c r="N16" s="76">
        <v>1</v>
      </c>
      <c r="O16" s="84">
        <v>0</v>
      </c>
      <c r="P16" s="85"/>
      <c r="Q16" s="79"/>
      <c r="R16" s="78" t="s">
        <v>136</v>
      </c>
      <c r="S16" s="78" t="s">
        <v>141</v>
      </c>
      <c r="T16" s="82" t="s">
        <v>13</v>
      </c>
      <c r="U16" s="78"/>
      <c r="V16" s="79"/>
      <c r="W16" s="79"/>
    </row>
    <row r="17" spans="1:23">
      <c r="A17" s="4" t="s">
        <v>148</v>
      </c>
      <c r="B17" s="80">
        <v>0.5405</v>
      </c>
      <c r="C17" s="81">
        <v>73</v>
      </c>
      <c r="D17" s="80">
        <v>0.81075</v>
      </c>
      <c r="E17" s="81"/>
      <c r="F17" s="84"/>
      <c r="G17" s="85"/>
      <c r="H17" s="84"/>
      <c r="I17" s="86"/>
      <c r="J17" s="76"/>
      <c r="K17" s="76"/>
      <c r="L17" s="76">
        <v>0</v>
      </c>
      <c r="M17" s="76">
        <v>0</v>
      </c>
      <c r="N17" s="76">
        <v>1</v>
      </c>
      <c r="O17" s="84"/>
      <c r="P17" s="85"/>
      <c r="Q17" s="79"/>
      <c r="R17" s="78" t="s">
        <v>136</v>
      </c>
      <c r="S17" s="78" t="s">
        <v>149</v>
      </c>
      <c r="T17" s="82" t="s">
        <v>13</v>
      </c>
      <c r="U17" s="78"/>
      <c r="V17" s="79"/>
      <c r="W17" s="79"/>
    </row>
    <row r="18" spans="1:23">
      <c r="A18" s="4" t="s">
        <v>150</v>
      </c>
      <c r="B18" s="80">
        <v>3.2432</v>
      </c>
      <c r="C18" s="81">
        <v>438</v>
      </c>
      <c r="D18" s="80">
        <v>4.8648</v>
      </c>
      <c r="E18" s="81"/>
      <c r="F18" s="84"/>
      <c r="G18" s="85"/>
      <c r="H18" s="84"/>
      <c r="I18" s="86"/>
      <c r="J18" s="76"/>
      <c r="K18" s="76"/>
      <c r="L18" s="76">
        <v>0</v>
      </c>
      <c r="M18" s="76">
        <v>0</v>
      </c>
      <c r="N18" s="76">
        <v>1</v>
      </c>
      <c r="O18" s="84"/>
      <c r="P18" s="85"/>
      <c r="Q18" s="79"/>
      <c r="R18" s="78" t="s">
        <v>136</v>
      </c>
      <c r="S18" s="78" t="s">
        <v>149</v>
      </c>
      <c r="T18" s="82" t="s">
        <v>13</v>
      </c>
      <c r="U18" s="78"/>
      <c r="V18" s="79"/>
      <c r="W18" s="79"/>
    </row>
    <row r="19" spans="1:23">
      <c r="A19" s="4" t="s">
        <v>151</v>
      </c>
      <c r="B19" s="80">
        <v>1.6216</v>
      </c>
      <c r="C19" s="81">
        <v>219</v>
      </c>
      <c r="D19" s="80">
        <v>1.6216</v>
      </c>
      <c r="E19" s="81"/>
      <c r="F19" s="84"/>
      <c r="G19" s="85"/>
      <c r="H19" s="84"/>
      <c r="I19" s="86"/>
      <c r="J19" s="76"/>
      <c r="K19" s="76"/>
      <c r="L19" s="76">
        <v>0</v>
      </c>
      <c r="M19" s="76">
        <v>0</v>
      </c>
      <c r="N19" s="76">
        <v>1</v>
      </c>
      <c r="O19" s="84">
        <v>0</v>
      </c>
      <c r="P19" s="85"/>
      <c r="Q19" s="79"/>
      <c r="R19" s="78" t="s">
        <v>136</v>
      </c>
      <c r="S19" s="78" t="s">
        <v>149</v>
      </c>
      <c r="T19" s="82" t="s">
        <v>13</v>
      </c>
      <c r="U19" s="78"/>
      <c r="V19" s="79"/>
      <c r="W19" s="79"/>
    </row>
    <row r="20" spans="1:23">
      <c r="A20" s="2" t="s">
        <v>152</v>
      </c>
      <c r="B20" s="80">
        <v>3.897</v>
      </c>
      <c r="C20" s="81">
        <v>800</v>
      </c>
      <c r="D20" s="80">
        <v>5.8455</v>
      </c>
      <c r="E20" s="81"/>
      <c r="F20" s="84"/>
      <c r="G20" s="85"/>
      <c r="H20" s="84"/>
      <c r="I20" s="86"/>
      <c r="J20" s="76"/>
      <c r="K20" s="76"/>
      <c r="L20" s="84"/>
      <c r="M20" s="84"/>
      <c r="N20" s="76">
        <v>1</v>
      </c>
      <c r="O20" s="84"/>
      <c r="P20" s="85"/>
      <c r="Q20" s="79"/>
      <c r="R20" s="78" t="s">
        <v>136</v>
      </c>
      <c r="S20" s="78" t="s">
        <v>153</v>
      </c>
      <c r="T20" s="82" t="s">
        <v>13</v>
      </c>
      <c r="U20" s="78"/>
      <c r="V20" s="79"/>
      <c r="W20" s="79"/>
    </row>
    <row r="21" spans="1:23">
      <c r="A21" s="2" t="s">
        <v>154</v>
      </c>
      <c r="B21" s="80">
        <v>1.4614</v>
      </c>
      <c r="C21" s="81">
        <v>300</v>
      </c>
      <c r="D21" s="80">
        <v>2.1921</v>
      </c>
      <c r="E21" s="81"/>
      <c r="F21" s="84"/>
      <c r="G21" s="85"/>
      <c r="H21" s="84"/>
      <c r="I21" s="86"/>
      <c r="J21" s="76"/>
      <c r="K21" s="76"/>
      <c r="L21" s="84"/>
      <c r="M21" s="84"/>
      <c r="N21" s="76">
        <v>1</v>
      </c>
      <c r="O21" s="84"/>
      <c r="P21" s="85"/>
      <c r="Q21" s="79"/>
      <c r="R21" s="78" t="s">
        <v>136</v>
      </c>
      <c r="S21" s="78" t="s">
        <v>153</v>
      </c>
      <c r="T21" s="82" t="s">
        <v>13</v>
      </c>
      <c r="U21" s="78"/>
      <c r="V21" s="79"/>
      <c r="W21" s="79"/>
    </row>
    <row r="22" spans="1:23">
      <c r="A22" s="2" t="s">
        <v>155</v>
      </c>
      <c r="B22" s="80">
        <v>1.4614</v>
      </c>
      <c r="C22" s="81">
        <v>300</v>
      </c>
      <c r="D22" s="80">
        <v>2.1921</v>
      </c>
      <c r="E22" s="81"/>
      <c r="F22" s="84"/>
      <c r="G22" s="85"/>
      <c r="H22" s="84"/>
      <c r="I22" s="86"/>
      <c r="J22" s="76"/>
      <c r="K22" s="76"/>
      <c r="L22" s="84"/>
      <c r="M22" s="84"/>
      <c r="N22" s="76">
        <v>1</v>
      </c>
      <c r="O22" s="84"/>
      <c r="P22" s="85"/>
      <c r="Q22" s="79"/>
      <c r="R22" s="78" t="s">
        <v>136</v>
      </c>
      <c r="S22" s="78" t="s">
        <v>153</v>
      </c>
      <c r="T22" s="82" t="s">
        <v>13</v>
      </c>
      <c r="U22" s="78"/>
      <c r="V22" s="79"/>
      <c r="W22" s="79"/>
    </row>
    <row r="23" spans="1:23">
      <c r="A23" s="2"/>
      <c r="B23" s="80"/>
      <c r="C23" s="81"/>
      <c r="D23" s="80"/>
      <c r="E23" s="81"/>
      <c r="F23" s="84"/>
      <c r="G23" s="85"/>
      <c r="H23" s="84"/>
      <c r="I23" s="86"/>
      <c r="J23" s="76"/>
      <c r="K23" s="76"/>
      <c r="L23" s="84"/>
      <c r="M23" s="84"/>
      <c r="N23" s="76">
        <v>1</v>
      </c>
      <c r="O23" s="84"/>
      <c r="P23" s="85"/>
      <c r="Q23" s="79"/>
      <c r="R23" s="78"/>
      <c r="S23" s="78"/>
      <c r="T23" s="78"/>
      <c r="U23" s="78"/>
      <c r="V23" s="79"/>
      <c r="W23" s="79"/>
    </row>
    <row r="24" spans="1:23">
      <c r="A24" s="2" t="s">
        <v>156</v>
      </c>
      <c r="B24" s="80">
        <v>0.3227</v>
      </c>
      <c r="C24" s="81">
        <v>74</v>
      </c>
      <c r="D24" s="80">
        <v>0.4841</v>
      </c>
      <c r="E24" s="81">
        <v>41</v>
      </c>
      <c r="F24" s="84"/>
      <c r="G24" s="85"/>
      <c r="H24" s="84"/>
      <c r="I24" s="86"/>
      <c r="J24" s="76"/>
      <c r="K24" s="76"/>
      <c r="L24" s="84"/>
      <c r="M24" s="84"/>
      <c r="N24" s="76">
        <v>1</v>
      </c>
      <c r="O24" s="84"/>
      <c r="P24" s="85"/>
      <c r="Q24" s="79"/>
      <c r="R24" s="78" t="s">
        <v>157</v>
      </c>
      <c r="S24" s="78" t="s">
        <v>49</v>
      </c>
      <c r="T24" s="78" t="s">
        <v>71</v>
      </c>
      <c r="U24" s="78"/>
      <c r="V24" s="79"/>
      <c r="W24" s="79"/>
    </row>
    <row r="25" spans="1:23">
      <c r="A25" s="2" t="s">
        <v>158</v>
      </c>
      <c r="B25" s="80">
        <v>3.8964</v>
      </c>
      <c r="C25" s="81">
        <v>900</v>
      </c>
      <c r="D25" s="80">
        <v>5.8446</v>
      </c>
      <c r="E25" s="81">
        <v>503</v>
      </c>
      <c r="F25" s="84"/>
      <c r="G25" s="85"/>
      <c r="H25" s="84"/>
      <c r="I25" s="87">
        <v>60</v>
      </c>
      <c r="J25" s="76">
        <v>0.24</v>
      </c>
      <c r="K25" s="76" cm="1">
        <f t="array" ref="K25">IF(COUNTIF(心法区,"移经易武")&gt;0,20%,0)+10%</f>
        <v>0.1</v>
      </c>
      <c r="L25" s="84"/>
      <c r="M25" s="84"/>
      <c r="N25" s="84">
        <v>1</v>
      </c>
      <c r="O25" s="84"/>
      <c r="P25" s="85"/>
      <c r="Q25" s="79">
        <v>1</v>
      </c>
      <c r="R25" s="78" t="s">
        <v>157</v>
      </c>
      <c r="S25" s="78" t="s">
        <v>79</v>
      </c>
      <c r="T25" s="78" t="s">
        <v>71</v>
      </c>
      <c r="U25" s="78"/>
      <c r="V25" s="79" t="s">
        <v>72</v>
      </c>
      <c r="W25" s="79"/>
    </row>
    <row r="26" spans="1:23">
      <c r="A26" s="2" t="s">
        <v>159</v>
      </c>
      <c r="B26" s="80">
        <v>7.2362</v>
      </c>
      <c r="C26" s="81">
        <v>1671</v>
      </c>
      <c r="D26" s="80">
        <v>10.8543</v>
      </c>
      <c r="E26" s="81">
        <v>934</v>
      </c>
      <c r="F26" s="84"/>
      <c r="G26" s="85"/>
      <c r="H26" s="84"/>
      <c r="I26" s="87">
        <v>60</v>
      </c>
      <c r="J26" s="76">
        <v>0.24</v>
      </c>
      <c r="K26" s="76" cm="1">
        <f t="array" ref="K26">IF(COUNTIF(心法区,"移经易武")&gt;0,20%,0)+10%</f>
        <v>0.1</v>
      </c>
      <c r="L26" s="84"/>
      <c r="M26" s="84"/>
      <c r="N26" s="84">
        <v>1</v>
      </c>
      <c r="O26" s="84">
        <v>0</v>
      </c>
      <c r="P26" s="85"/>
      <c r="Q26" s="79">
        <v>1</v>
      </c>
      <c r="R26" s="78" t="s">
        <v>157</v>
      </c>
      <c r="S26" s="78" t="s">
        <v>79</v>
      </c>
      <c r="T26" s="78" t="s">
        <v>71</v>
      </c>
      <c r="U26" s="78"/>
      <c r="V26" s="79" t="s">
        <v>72</v>
      </c>
      <c r="W26" s="79"/>
    </row>
    <row r="27" spans="1:23">
      <c r="A27" s="2" t="s">
        <v>160</v>
      </c>
      <c r="B27" s="80">
        <v>5.789</v>
      </c>
      <c r="C27" s="81">
        <v>1337</v>
      </c>
      <c r="D27" s="80">
        <v>8.6834</v>
      </c>
      <c r="E27" s="81">
        <v>747</v>
      </c>
      <c r="F27" s="84"/>
      <c r="G27" s="85"/>
      <c r="H27" s="84"/>
      <c r="I27" s="87">
        <v>60</v>
      </c>
      <c r="J27" s="76">
        <v>0.24</v>
      </c>
      <c r="K27" s="76" cm="1">
        <f t="array" ref="K27">IF(COUNTIF(心法区,"移经易武")&gt;0,20%,0)+10%</f>
        <v>0.1</v>
      </c>
      <c r="L27" s="84"/>
      <c r="M27" s="84"/>
      <c r="N27" s="84">
        <v>1</v>
      </c>
      <c r="O27" s="84">
        <v>0</v>
      </c>
      <c r="P27" s="85"/>
      <c r="Q27" s="79">
        <v>1</v>
      </c>
      <c r="R27" s="78" t="s">
        <v>157</v>
      </c>
      <c r="S27" s="78" t="s">
        <v>79</v>
      </c>
      <c r="T27" s="78" t="s">
        <v>71</v>
      </c>
      <c r="U27" s="78"/>
      <c r="V27" s="79" t="s">
        <v>72</v>
      </c>
      <c r="W27" s="79"/>
    </row>
    <row r="28" spans="1:23">
      <c r="A28" s="2" t="s">
        <v>161</v>
      </c>
      <c r="B28" s="80">
        <v>4.8243</v>
      </c>
      <c r="C28" s="81">
        <v>1114</v>
      </c>
      <c r="D28" s="80">
        <v>7.2365</v>
      </c>
      <c r="E28" s="81">
        <v>623</v>
      </c>
      <c r="F28" s="84"/>
      <c r="G28" s="85"/>
      <c r="H28" s="84"/>
      <c r="I28" s="87">
        <v>60</v>
      </c>
      <c r="J28" s="76">
        <v>0.24</v>
      </c>
      <c r="K28" s="76" cm="1">
        <f t="array" ref="K28">IF(COUNTIF(心法区,"移经易武")&gt;0,20%,0)+10%</f>
        <v>0.1</v>
      </c>
      <c r="L28" s="84"/>
      <c r="M28" s="84"/>
      <c r="N28" s="84">
        <v>1</v>
      </c>
      <c r="O28" s="84">
        <v>0</v>
      </c>
      <c r="P28" s="85"/>
      <c r="Q28" s="79">
        <v>1</v>
      </c>
      <c r="R28" s="78" t="s">
        <v>157</v>
      </c>
      <c r="S28" s="78" t="s">
        <v>79</v>
      </c>
      <c r="T28" s="78" t="s">
        <v>71</v>
      </c>
      <c r="U28" s="78"/>
      <c r="V28" s="79" t="s">
        <v>72</v>
      </c>
      <c r="W28" s="79"/>
    </row>
    <row r="29" spans="1:23">
      <c r="A29" s="2" t="s">
        <v>162</v>
      </c>
      <c r="B29" s="80">
        <v>3.2921</v>
      </c>
      <c r="C29" s="81">
        <v>799</v>
      </c>
      <c r="D29" s="80">
        <v>4.938</v>
      </c>
      <c r="E29" s="81">
        <v>442</v>
      </c>
      <c r="F29" s="84"/>
      <c r="G29" s="85"/>
      <c r="H29" s="84"/>
      <c r="I29" s="87">
        <v>60</v>
      </c>
      <c r="J29" s="76">
        <v>0.24</v>
      </c>
      <c r="K29" s="76" cm="1">
        <f t="array" ref="K29">IF(COUNTIF(心法区,"移经易武")&gt;0,20%,0)+10%</f>
        <v>0.1</v>
      </c>
      <c r="L29" s="84"/>
      <c r="M29" s="84"/>
      <c r="N29" s="84">
        <v>1</v>
      </c>
      <c r="O29" s="84"/>
      <c r="P29" s="85"/>
      <c r="Q29" s="79">
        <v>1</v>
      </c>
      <c r="R29" s="78" t="s">
        <v>157</v>
      </c>
      <c r="S29" s="78" t="s">
        <v>79</v>
      </c>
      <c r="T29" s="78" t="s">
        <v>71</v>
      </c>
      <c r="U29" s="78"/>
      <c r="V29" s="79" t="s">
        <v>72</v>
      </c>
      <c r="W29" s="79"/>
    </row>
    <row r="30" spans="1:23">
      <c r="A30" s="2" t="s">
        <v>163</v>
      </c>
      <c r="B30" s="80">
        <v>2.634</v>
      </c>
      <c r="C30" s="81">
        <v>639</v>
      </c>
      <c r="D30" s="80">
        <v>3.9404</v>
      </c>
      <c r="E30" s="81">
        <v>552</v>
      </c>
      <c r="F30" s="84"/>
      <c r="G30" s="85"/>
      <c r="H30" s="84"/>
      <c r="I30" s="87">
        <v>60</v>
      </c>
      <c r="J30" s="76">
        <v>0.24</v>
      </c>
      <c r="K30" s="76" cm="1">
        <f t="array" ref="K30">IF(COUNTIF(心法区,"移经易武")&gt;0,20%,0)+10%</f>
        <v>0.1</v>
      </c>
      <c r="L30" s="84"/>
      <c r="M30" s="84"/>
      <c r="N30" s="84">
        <v>1</v>
      </c>
      <c r="O30" s="84"/>
      <c r="P30" s="85"/>
      <c r="Q30" s="79">
        <v>1</v>
      </c>
      <c r="R30" s="78" t="s">
        <v>157</v>
      </c>
      <c r="S30" s="78" t="s">
        <v>79</v>
      </c>
      <c r="T30" s="78" t="s">
        <v>71</v>
      </c>
      <c r="U30" s="78"/>
      <c r="V30" s="79" t="s">
        <v>72</v>
      </c>
      <c r="W30" s="79"/>
    </row>
    <row r="31" spans="1:23">
      <c r="A31" s="2"/>
      <c r="B31" s="80"/>
      <c r="C31" s="81"/>
      <c r="D31" s="80"/>
      <c r="E31" s="81"/>
      <c r="F31" s="84"/>
      <c r="G31" s="85"/>
      <c r="H31" s="84"/>
      <c r="I31" s="86"/>
      <c r="J31" s="76"/>
      <c r="K31" s="76"/>
      <c r="L31" s="84"/>
      <c r="M31" s="84"/>
      <c r="N31" s="84">
        <v>1</v>
      </c>
      <c r="O31" s="84"/>
      <c r="P31" s="85"/>
      <c r="Q31" s="79"/>
      <c r="R31" s="78"/>
      <c r="S31" s="78"/>
      <c r="T31" s="78"/>
      <c r="U31" s="78"/>
      <c r="V31" s="79"/>
      <c r="W31" s="79"/>
    </row>
    <row r="32" spans="1:23">
      <c r="A32" s="3" t="s">
        <v>164</v>
      </c>
      <c r="B32" s="80">
        <v>1.7173</v>
      </c>
      <c r="C32" s="81">
        <v>396</v>
      </c>
      <c r="D32" s="80">
        <v>2.576</v>
      </c>
      <c r="E32" s="81">
        <v>221</v>
      </c>
      <c r="F32" s="84"/>
      <c r="G32" s="85"/>
      <c r="H32" s="84"/>
      <c r="I32" s="85"/>
      <c r="J32" s="84"/>
      <c r="K32" s="84">
        <v>0.36</v>
      </c>
      <c r="L32" s="84"/>
      <c r="M32" s="84"/>
      <c r="N32" s="84">
        <v>1</v>
      </c>
      <c r="O32" s="84"/>
      <c r="P32" s="85"/>
      <c r="Q32" s="79">
        <v>1</v>
      </c>
      <c r="R32" s="78" t="s">
        <v>157</v>
      </c>
      <c r="S32" s="79" t="s">
        <v>68</v>
      </c>
      <c r="T32" s="79" t="s">
        <v>59</v>
      </c>
      <c r="U32" s="79"/>
      <c r="V32" s="79" t="s">
        <v>165</v>
      </c>
      <c r="W32" s="79"/>
    </row>
    <row r="33" spans="1:23">
      <c r="A33" s="3" t="s">
        <v>166</v>
      </c>
      <c r="B33" s="80">
        <v>2.3389</v>
      </c>
      <c r="C33" s="81">
        <v>541</v>
      </c>
      <c r="D33" s="80">
        <v>3.5084</v>
      </c>
      <c r="E33" s="81">
        <v>303</v>
      </c>
      <c r="F33" s="84"/>
      <c r="G33" s="85"/>
      <c r="H33" s="84"/>
      <c r="I33" s="85"/>
      <c r="J33" s="84"/>
      <c r="K33" s="84">
        <v>0.36</v>
      </c>
      <c r="L33" s="84"/>
      <c r="M33" s="84"/>
      <c r="N33" s="84">
        <v>1</v>
      </c>
      <c r="O33" s="84"/>
      <c r="P33" s="85"/>
      <c r="Q33" s="79"/>
      <c r="R33" s="78" t="s">
        <v>157</v>
      </c>
      <c r="S33" s="79" t="s">
        <v>68</v>
      </c>
      <c r="T33" s="79" t="s">
        <v>59</v>
      </c>
      <c r="U33" s="79"/>
      <c r="V33" s="79" t="s">
        <v>61</v>
      </c>
      <c r="W33" s="79"/>
    </row>
    <row r="34" spans="1:23">
      <c r="A34" s="3" t="s">
        <v>167</v>
      </c>
      <c r="B34" s="80">
        <v>0.9266</v>
      </c>
      <c r="C34" s="81">
        <v>215</v>
      </c>
      <c r="D34" s="80">
        <v>1.3899</v>
      </c>
      <c r="E34" s="81">
        <v>120</v>
      </c>
      <c r="F34" s="84"/>
      <c r="G34" s="85"/>
      <c r="H34" s="84"/>
      <c r="I34" s="85"/>
      <c r="J34" s="84"/>
      <c r="K34" s="84"/>
      <c r="L34" s="84"/>
      <c r="M34" s="84"/>
      <c r="N34" s="84">
        <v>1</v>
      </c>
      <c r="O34" s="84"/>
      <c r="P34" s="85"/>
      <c r="Q34" s="79"/>
      <c r="R34" s="78" t="s">
        <v>157</v>
      </c>
      <c r="S34" s="79" t="s">
        <v>69</v>
      </c>
      <c r="T34" s="79" t="s">
        <v>59</v>
      </c>
      <c r="U34" s="79"/>
      <c r="V34" s="79"/>
      <c r="W34" s="79"/>
    </row>
    <row r="35" spans="1:23">
      <c r="A35" s="3" t="s">
        <v>168</v>
      </c>
      <c r="B35" s="80">
        <v>0.51075</v>
      </c>
      <c r="C35" s="81">
        <v>118</v>
      </c>
      <c r="D35" s="80">
        <v>0.7661</v>
      </c>
      <c r="E35" s="81">
        <v>66</v>
      </c>
      <c r="F35" s="84"/>
      <c r="G35" s="85"/>
      <c r="H35" s="84"/>
      <c r="I35" s="85"/>
      <c r="J35" s="84"/>
      <c r="K35" s="84"/>
      <c r="L35" s="84"/>
      <c r="M35" s="84"/>
      <c r="N35" s="84">
        <v>1</v>
      </c>
      <c r="O35" s="84"/>
      <c r="P35" s="85"/>
      <c r="Q35" s="79"/>
      <c r="R35" s="78" t="s">
        <v>157</v>
      </c>
      <c r="S35" s="79" t="s">
        <v>68</v>
      </c>
      <c r="T35" s="79" t="s">
        <v>59</v>
      </c>
      <c r="U35" s="79"/>
      <c r="V35" s="79" t="s">
        <v>60</v>
      </c>
      <c r="W35" s="79"/>
    </row>
    <row r="36" spans="1:23">
      <c r="A36" s="3" t="s">
        <v>169</v>
      </c>
      <c r="B36" s="80">
        <v>1.0215</v>
      </c>
      <c r="C36" s="81">
        <v>236</v>
      </c>
      <c r="D36" s="80">
        <v>1.5323</v>
      </c>
      <c r="E36" s="81">
        <v>132</v>
      </c>
      <c r="F36" s="84"/>
      <c r="G36" s="85"/>
      <c r="H36" s="84"/>
      <c r="I36" s="85"/>
      <c r="J36" s="84"/>
      <c r="K36" s="84">
        <v>0.36</v>
      </c>
      <c r="L36" s="84"/>
      <c r="M36" s="84"/>
      <c r="N36" s="84">
        <v>1</v>
      </c>
      <c r="O36" s="84"/>
      <c r="P36" s="85"/>
      <c r="Q36" s="79"/>
      <c r="R36" s="78" t="s">
        <v>157</v>
      </c>
      <c r="S36" s="79" t="s">
        <v>68</v>
      </c>
      <c r="T36" s="79" t="s">
        <v>59</v>
      </c>
      <c r="U36" s="79"/>
      <c r="V36" s="79" t="s">
        <v>60</v>
      </c>
      <c r="W36" s="79"/>
    </row>
    <row r="37" spans="1:23">
      <c r="A37" s="3" t="s">
        <v>170</v>
      </c>
      <c r="B37" s="80">
        <v>1.2793</v>
      </c>
      <c r="C37" s="81">
        <v>296</v>
      </c>
      <c r="D37" s="80">
        <v>1.919</v>
      </c>
      <c r="E37" s="81">
        <v>166</v>
      </c>
      <c r="F37" s="84"/>
      <c r="G37" s="85"/>
      <c r="H37" s="84"/>
      <c r="I37" s="85"/>
      <c r="J37" s="84"/>
      <c r="K37" s="84"/>
      <c r="L37" s="84"/>
      <c r="M37" s="84"/>
      <c r="N37" s="84">
        <v>1</v>
      </c>
      <c r="O37" s="84"/>
      <c r="P37" s="85"/>
      <c r="Q37" s="79"/>
      <c r="R37" s="78" t="s">
        <v>157</v>
      </c>
      <c r="S37" s="79" t="s">
        <v>69</v>
      </c>
      <c r="T37" s="79" t="s">
        <v>59</v>
      </c>
      <c r="U37" s="79"/>
      <c r="V37" s="79"/>
      <c r="W37" s="79"/>
    </row>
    <row r="38" spans="1:23">
      <c r="A38" s="3" t="s">
        <v>171</v>
      </c>
      <c r="B38" s="80">
        <v>1.2473</v>
      </c>
      <c r="C38" s="81">
        <v>289</v>
      </c>
      <c r="D38" s="80">
        <v>1.8709</v>
      </c>
      <c r="E38" s="81">
        <v>161</v>
      </c>
      <c r="F38" s="84"/>
      <c r="G38" s="85"/>
      <c r="H38" s="84"/>
      <c r="I38" s="85"/>
      <c r="J38" s="84"/>
      <c r="K38" s="84">
        <v>0.36</v>
      </c>
      <c r="L38" s="84"/>
      <c r="M38" s="84"/>
      <c r="N38" s="84">
        <v>1</v>
      </c>
      <c r="O38" s="84">
        <v>0</v>
      </c>
      <c r="P38" s="85"/>
      <c r="Q38" s="79"/>
      <c r="R38" s="78" t="s">
        <v>157</v>
      </c>
      <c r="S38" s="79" t="s">
        <v>69</v>
      </c>
      <c r="T38" s="79" t="s">
        <v>59</v>
      </c>
      <c r="U38" s="79"/>
      <c r="V38" s="79"/>
      <c r="W38" s="79"/>
    </row>
    <row r="39" spans="1:23">
      <c r="A39" s="2" t="s">
        <v>172</v>
      </c>
      <c r="B39" s="80">
        <v>3.018</v>
      </c>
      <c r="C39" s="81">
        <v>698</v>
      </c>
      <c r="D39" s="80">
        <v>4.5271</v>
      </c>
      <c r="E39" s="81">
        <v>390</v>
      </c>
      <c r="F39" s="84"/>
      <c r="G39" s="85"/>
      <c r="H39" s="84"/>
      <c r="I39" s="85"/>
      <c r="J39" s="84"/>
      <c r="K39" s="84">
        <v>0.36</v>
      </c>
      <c r="L39" s="84"/>
      <c r="M39" s="84"/>
      <c r="N39" s="84">
        <v>1</v>
      </c>
      <c r="O39" s="84">
        <v>0</v>
      </c>
      <c r="P39" s="85"/>
      <c r="Q39" s="79"/>
      <c r="R39" s="78" t="s">
        <v>157</v>
      </c>
      <c r="S39" s="79" t="s">
        <v>69</v>
      </c>
      <c r="T39" s="79" t="s">
        <v>59</v>
      </c>
      <c r="U39" s="79"/>
      <c r="V39" s="79"/>
      <c r="W39" s="79"/>
    </row>
    <row r="40" spans="1:23">
      <c r="A40" s="2" t="s">
        <v>173</v>
      </c>
      <c r="B40" s="80">
        <v>1.9039</v>
      </c>
      <c r="C40" s="81">
        <v>440</v>
      </c>
      <c r="D40" s="80">
        <v>2.8558</v>
      </c>
      <c r="E40" s="81">
        <v>246</v>
      </c>
      <c r="F40" s="84"/>
      <c r="G40" s="85"/>
      <c r="H40" s="84"/>
      <c r="I40" s="85"/>
      <c r="J40" s="84"/>
      <c r="K40" s="84">
        <v>0.36</v>
      </c>
      <c r="L40" s="84"/>
      <c r="M40" s="84"/>
      <c r="N40" s="84">
        <v>1</v>
      </c>
      <c r="O40" s="84"/>
      <c r="P40" s="85"/>
      <c r="Q40" s="79">
        <v>1</v>
      </c>
      <c r="R40" s="78" t="s">
        <v>157</v>
      </c>
      <c r="S40" s="79" t="s">
        <v>69</v>
      </c>
      <c r="T40" s="79" t="s">
        <v>59</v>
      </c>
      <c r="U40" s="79"/>
      <c r="V40" s="79"/>
      <c r="W40" s="79"/>
    </row>
    <row r="41" spans="1:23">
      <c r="A41" s="2" t="s">
        <v>174</v>
      </c>
      <c r="B41" s="88">
        <v>1.6995</v>
      </c>
      <c r="C41" s="81">
        <v>393</v>
      </c>
      <c r="D41" s="88">
        <v>2.5492</v>
      </c>
      <c r="E41" s="81">
        <v>219</v>
      </c>
      <c r="F41" s="84"/>
      <c r="G41" s="85"/>
      <c r="H41" s="84"/>
      <c r="I41" s="85"/>
      <c r="J41" s="84"/>
      <c r="K41" s="84"/>
      <c r="L41" s="84"/>
      <c r="M41" s="84"/>
      <c r="N41" s="84">
        <v>1</v>
      </c>
      <c r="O41" s="84"/>
      <c r="P41" s="85"/>
      <c r="Q41" s="79"/>
      <c r="R41" s="79" t="s">
        <v>157</v>
      </c>
      <c r="S41" s="79" t="s">
        <v>68</v>
      </c>
      <c r="T41" s="79" t="s">
        <v>59</v>
      </c>
      <c r="U41" s="79"/>
      <c r="V41" s="79"/>
      <c r="W41" s="79"/>
    </row>
    <row r="42" spans="1:23">
      <c r="A42" s="5"/>
      <c r="B42" s="80"/>
      <c r="C42" s="81"/>
      <c r="D42" s="80"/>
      <c r="E42" s="81"/>
      <c r="F42" s="84"/>
      <c r="G42" s="85"/>
      <c r="H42" s="84"/>
      <c r="I42" s="85"/>
      <c r="J42" s="84"/>
      <c r="K42" s="84"/>
      <c r="L42" s="84"/>
      <c r="M42" s="84"/>
      <c r="N42" s="84">
        <v>1</v>
      </c>
      <c r="O42" s="84"/>
      <c r="P42" s="85"/>
      <c r="Q42" s="79"/>
      <c r="R42" s="78"/>
      <c r="S42" s="79"/>
      <c r="T42" s="79"/>
      <c r="U42" s="79"/>
      <c r="V42" s="79"/>
      <c r="W42" s="79"/>
    </row>
    <row r="43" spans="1:23">
      <c r="A43" s="5" t="s">
        <v>175</v>
      </c>
      <c r="B43" s="80">
        <v>0.42</v>
      </c>
      <c r="C43" s="81">
        <v>98</v>
      </c>
      <c r="D43" s="80">
        <v>0.63</v>
      </c>
      <c r="E43" s="81">
        <v>55</v>
      </c>
      <c r="F43" s="84"/>
      <c r="G43" s="85"/>
      <c r="H43" s="84"/>
      <c r="I43" s="85"/>
      <c r="J43" s="84"/>
      <c r="K43" s="84"/>
      <c r="L43" s="84"/>
      <c r="M43" s="84"/>
      <c r="N43" s="84">
        <v>1</v>
      </c>
      <c r="O43" s="84"/>
      <c r="P43" s="85"/>
      <c r="Q43" s="79"/>
      <c r="R43" s="78" t="s">
        <v>157</v>
      </c>
      <c r="S43" s="79" t="s">
        <v>97</v>
      </c>
      <c r="T43" s="79" t="s">
        <v>89</v>
      </c>
      <c r="U43" s="79"/>
      <c r="V43" s="79"/>
      <c r="W43" s="79"/>
    </row>
    <row r="44" spans="1:23">
      <c r="A44" s="5" t="s">
        <v>176</v>
      </c>
      <c r="B44" s="80">
        <v>0.4503</v>
      </c>
      <c r="C44" s="81">
        <v>105</v>
      </c>
      <c r="D44" s="80">
        <v>0.6755</v>
      </c>
      <c r="E44" s="81">
        <v>58</v>
      </c>
      <c r="F44" s="84"/>
      <c r="G44" s="85"/>
      <c r="H44" s="84"/>
      <c r="I44" s="85"/>
      <c r="J44" s="84"/>
      <c r="K44" s="84"/>
      <c r="L44" s="84"/>
      <c r="M44" s="84"/>
      <c r="N44" s="84">
        <v>1</v>
      </c>
      <c r="O44" s="84"/>
      <c r="P44" s="85"/>
      <c r="Q44" s="79"/>
      <c r="R44" s="78" t="s">
        <v>157</v>
      </c>
      <c r="S44" s="79" t="s">
        <v>97</v>
      </c>
      <c r="T44" s="79" t="s">
        <v>89</v>
      </c>
      <c r="U44" s="79"/>
      <c r="V44" s="79"/>
      <c r="W44" s="79"/>
    </row>
    <row r="45" spans="1:23">
      <c r="A45" s="5" t="s">
        <v>177</v>
      </c>
      <c r="B45" s="80">
        <v>0.5767</v>
      </c>
      <c r="C45" s="81">
        <v>134</v>
      </c>
      <c r="D45" s="80">
        <v>0.865</v>
      </c>
      <c r="E45" s="81">
        <v>75</v>
      </c>
      <c r="F45" s="84"/>
      <c r="G45" s="85"/>
      <c r="H45" s="84"/>
      <c r="I45" s="85"/>
      <c r="J45" s="84"/>
      <c r="K45" s="84"/>
      <c r="L45" s="84"/>
      <c r="M45" s="84"/>
      <c r="N45" s="84">
        <v>1</v>
      </c>
      <c r="O45" s="84"/>
      <c r="P45" s="85"/>
      <c r="Q45" s="79"/>
      <c r="R45" s="78" t="s">
        <v>157</v>
      </c>
      <c r="S45" s="79" t="s">
        <v>97</v>
      </c>
      <c r="T45" s="79" t="s">
        <v>89</v>
      </c>
      <c r="U45" s="79"/>
      <c r="V45" s="79"/>
      <c r="W45" s="79"/>
    </row>
    <row r="46" spans="1:23">
      <c r="A46" s="5" t="s">
        <v>178</v>
      </c>
      <c r="B46" s="80">
        <v>0.5077</v>
      </c>
      <c r="C46" s="81">
        <v>118</v>
      </c>
      <c r="D46" s="80">
        <v>0.7615</v>
      </c>
      <c r="E46" s="81">
        <v>66</v>
      </c>
      <c r="F46" s="84"/>
      <c r="G46" s="85"/>
      <c r="H46" s="84"/>
      <c r="I46" s="85"/>
      <c r="J46" s="84"/>
      <c r="K46" s="84"/>
      <c r="L46" s="84"/>
      <c r="M46" s="84"/>
      <c r="N46" s="84">
        <v>1</v>
      </c>
      <c r="O46" s="84"/>
      <c r="P46" s="85"/>
      <c r="Q46" s="79"/>
      <c r="R46" s="78" t="s">
        <v>157</v>
      </c>
      <c r="S46" s="79" t="s">
        <v>97</v>
      </c>
      <c r="T46" s="79" t="s">
        <v>89</v>
      </c>
      <c r="U46" s="79"/>
      <c r="V46" s="79"/>
      <c r="W46" s="79"/>
    </row>
    <row r="47" spans="1:23">
      <c r="A47" s="5" t="s">
        <v>179</v>
      </c>
      <c r="B47" s="80">
        <v>0.6467</v>
      </c>
      <c r="C47" s="81">
        <v>150</v>
      </c>
      <c r="D47" s="80">
        <v>0.97</v>
      </c>
      <c r="E47" s="81">
        <v>84</v>
      </c>
      <c r="F47" s="84"/>
      <c r="G47" s="85"/>
      <c r="H47" s="84"/>
      <c r="I47" s="85"/>
      <c r="J47" s="84"/>
      <c r="K47" s="84"/>
      <c r="L47" s="84"/>
      <c r="M47" s="84"/>
      <c r="N47" s="84">
        <v>1</v>
      </c>
      <c r="O47" s="84"/>
      <c r="P47" s="85"/>
      <c r="Q47" s="79"/>
      <c r="R47" s="78" t="s">
        <v>157</v>
      </c>
      <c r="S47" s="79" t="s">
        <v>97</v>
      </c>
      <c r="T47" s="79" t="s">
        <v>89</v>
      </c>
      <c r="U47" s="79"/>
      <c r="V47" s="79" t="s">
        <v>91</v>
      </c>
      <c r="W47" s="79"/>
    </row>
    <row r="48" spans="1:23">
      <c r="A48" s="5" t="s">
        <v>180</v>
      </c>
      <c r="B48" s="80">
        <v>0.9007</v>
      </c>
      <c r="C48" s="81">
        <v>209</v>
      </c>
      <c r="D48" s="80">
        <v>1.351</v>
      </c>
      <c r="E48" s="81">
        <v>117</v>
      </c>
      <c r="F48" s="84"/>
      <c r="G48" s="85"/>
      <c r="H48" s="84"/>
      <c r="I48" s="85"/>
      <c r="J48" s="84"/>
      <c r="K48" s="84"/>
      <c r="L48" s="84"/>
      <c r="M48" s="84"/>
      <c r="N48" s="84">
        <v>1</v>
      </c>
      <c r="O48" s="84"/>
      <c r="P48" s="85"/>
      <c r="Q48" s="79"/>
      <c r="R48" s="78" t="s">
        <v>157</v>
      </c>
      <c r="S48" s="79" t="s">
        <v>97</v>
      </c>
      <c r="T48" s="79" t="s">
        <v>89</v>
      </c>
      <c r="U48" s="79"/>
      <c r="V48" s="79" t="s">
        <v>91</v>
      </c>
      <c r="W48" s="79"/>
    </row>
    <row r="49" spans="1:23">
      <c r="A49" s="5" t="s">
        <v>181</v>
      </c>
      <c r="B49" s="80">
        <v>1.445</v>
      </c>
      <c r="C49" s="81">
        <v>335</v>
      </c>
      <c r="D49" s="80">
        <v>2.1675</v>
      </c>
      <c r="E49" s="81">
        <v>187</v>
      </c>
      <c r="F49" s="84"/>
      <c r="G49" s="85"/>
      <c r="H49" s="84"/>
      <c r="I49" s="85"/>
      <c r="J49" s="84"/>
      <c r="K49" s="84"/>
      <c r="L49" s="84"/>
      <c r="M49" s="84"/>
      <c r="N49" s="84">
        <v>1</v>
      </c>
      <c r="O49" s="84"/>
      <c r="P49" s="85"/>
      <c r="Q49" s="79"/>
      <c r="R49" s="78" t="s">
        <v>157</v>
      </c>
      <c r="S49" s="79" t="s">
        <v>97</v>
      </c>
      <c r="T49" s="79" t="s">
        <v>89</v>
      </c>
      <c r="U49" s="79"/>
      <c r="V49" s="79" t="s">
        <v>91</v>
      </c>
      <c r="W49" s="79"/>
    </row>
    <row r="50" spans="1:23">
      <c r="A50" s="5" t="s">
        <v>182</v>
      </c>
      <c r="B50" s="80">
        <v>1.7353</v>
      </c>
      <c r="C50" s="81">
        <v>402</v>
      </c>
      <c r="D50" s="80">
        <v>2.603</v>
      </c>
      <c r="E50" s="81">
        <v>224</v>
      </c>
      <c r="F50" s="84"/>
      <c r="G50" s="85"/>
      <c r="H50" s="84"/>
      <c r="I50" s="85"/>
      <c r="J50" s="84"/>
      <c r="K50" s="84"/>
      <c r="L50" s="84"/>
      <c r="M50" s="84"/>
      <c r="N50" s="84">
        <v>1</v>
      </c>
      <c r="O50" s="84"/>
      <c r="P50" s="85"/>
      <c r="Q50" s="79"/>
      <c r="R50" s="78" t="s">
        <v>157</v>
      </c>
      <c r="S50" s="79" t="s">
        <v>97</v>
      </c>
      <c r="T50" s="79" t="s">
        <v>89</v>
      </c>
      <c r="U50" s="79"/>
      <c r="V50" s="79" t="s">
        <v>91</v>
      </c>
      <c r="W50" s="79"/>
    </row>
    <row r="51" spans="1:23">
      <c r="A51" s="5" t="s">
        <v>183</v>
      </c>
      <c r="B51" s="80">
        <v>2.5337</v>
      </c>
      <c r="C51" s="81">
        <v>586</v>
      </c>
      <c r="D51" s="80">
        <v>3.8005</v>
      </c>
      <c r="E51" s="81">
        <v>327</v>
      </c>
      <c r="F51" s="84"/>
      <c r="G51" s="85"/>
      <c r="H51" s="84"/>
      <c r="I51" s="85"/>
      <c r="J51" s="84"/>
      <c r="K51" s="84"/>
      <c r="L51" s="84"/>
      <c r="M51" s="84"/>
      <c r="N51" s="84">
        <v>1</v>
      </c>
      <c r="O51" s="84"/>
      <c r="P51" s="85"/>
      <c r="Q51" s="79"/>
      <c r="R51" s="78" t="s">
        <v>157</v>
      </c>
      <c r="S51" s="79" t="s">
        <v>97</v>
      </c>
      <c r="T51" s="79" t="s">
        <v>89</v>
      </c>
      <c r="U51" s="79"/>
      <c r="V51" s="79" t="s">
        <v>91</v>
      </c>
      <c r="W51" s="79"/>
    </row>
    <row r="52" spans="1:23">
      <c r="A52" s="5" t="s">
        <v>184</v>
      </c>
      <c r="B52" s="80">
        <v>1.3543</v>
      </c>
      <c r="C52" s="81">
        <v>314</v>
      </c>
      <c r="D52" s="80">
        <v>2.0315</v>
      </c>
      <c r="E52" s="81">
        <v>175</v>
      </c>
      <c r="F52" s="84"/>
      <c r="G52" s="85"/>
      <c r="H52" s="84"/>
      <c r="I52" s="85"/>
      <c r="J52" s="84"/>
      <c r="K52" s="84"/>
      <c r="L52" s="84"/>
      <c r="M52" s="84"/>
      <c r="N52" s="84">
        <v>1</v>
      </c>
      <c r="O52" s="84"/>
      <c r="P52" s="85"/>
      <c r="Q52" s="79"/>
      <c r="R52" s="78" t="s">
        <v>157</v>
      </c>
      <c r="S52" s="79" t="s">
        <v>97</v>
      </c>
      <c r="T52" s="79" t="s">
        <v>89</v>
      </c>
      <c r="U52" s="79"/>
      <c r="V52" s="79" t="s">
        <v>95</v>
      </c>
      <c r="W52" s="79"/>
    </row>
    <row r="53" spans="1:23">
      <c r="A53" s="5" t="s">
        <v>185</v>
      </c>
      <c r="B53" s="80">
        <v>0.35</v>
      </c>
      <c r="C53" s="81"/>
      <c r="D53" s="80">
        <v>0.525</v>
      </c>
      <c r="E53" s="81"/>
      <c r="F53" s="84"/>
      <c r="G53" s="85"/>
      <c r="H53" s="84"/>
      <c r="I53" s="85"/>
      <c r="J53" s="84"/>
      <c r="K53" s="84"/>
      <c r="L53" s="84"/>
      <c r="M53" s="84"/>
      <c r="N53" s="84">
        <v>1</v>
      </c>
      <c r="O53" s="84">
        <v>0</v>
      </c>
      <c r="P53" s="85"/>
      <c r="Q53" s="79"/>
      <c r="R53" s="78" t="s">
        <v>157</v>
      </c>
      <c r="S53" s="79" t="s">
        <v>98</v>
      </c>
      <c r="T53" s="79" t="s">
        <v>89</v>
      </c>
      <c r="U53" s="79" t="s">
        <v>186</v>
      </c>
      <c r="V53" s="79" t="s">
        <v>90</v>
      </c>
      <c r="W53" s="79"/>
    </row>
    <row r="54" spans="1:23">
      <c r="A54" s="5" t="s">
        <v>187</v>
      </c>
      <c r="B54" s="80">
        <v>0.062</v>
      </c>
      <c r="C54" s="81">
        <v>14</v>
      </c>
      <c r="D54" s="80">
        <v>0.093</v>
      </c>
      <c r="E54" s="81">
        <v>8</v>
      </c>
      <c r="F54" s="84"/>
      <c r="G54" s="85"/>
      <c r="H54" s="84"/>
      <c r="I54" s="85"/>
      <c r="J54" s="84"/>
      <c r="K54" s="84"/>
      <c r="L54" s="84"/>
      <c r="M54" s="84"/>
      <c r="N54" s="84">
        <v>1</v>
      </c>
      <c r="O54" s="84"/>
      <c r="P54" s="85"/>
      <c r="Q54" s="79"/>
      <c r="R54" s="78" t="s">
        <v>157</v>
      </c>
      <c r="S54" s="79" t="s">
        <v>98</v>
      </c>
      <c r="T54" s="79" t="s">
        <v>89</v>
      </c>
      <c r="U54" s="79"/>
      <c r="V54" s="79"/>
      <c r="W54" s="79"/>
    </row>
    <row r="55" spans="1:23">
      <c r="A55" s="5" t="s">
        <v>188</v>
      </c>
      <c r="B55" s="80"/>
      <c r="C55" s="81"/>
      <c r="D55" s="80"/>
      <c r="E55" s="81"/>
      <c r="F55" s="84"/>
      <c r="G55" s="85"/>
      <c r="H55" s="84"/>
      <c r="I55" s="85"/>
      <c r="J55" s="84"/>
      <c r="K55" s="84"/>
      <c r="L55" s="84"/>
      <c r="M55" s="84"/>
      <c r="N55" s="84">
        <v>1</v>
      </c>
      <c r="O55" s="84"/>
      <c r="P55" s="85"/>
      <c r="Q55" s="79"/>
      <c r="R55" s="78" t="s">
        <v>131</v>
      </c>
      <c r="S55" s="79" t="s">
        <v>38</v>
      </c>
      <c r="T55" s="79"/>
      <c r="U55" s="79" t="s">
        <v>189</v>
      </c>
      <c r="V55" s="79"/>
      <c r="W55" s="79"/>
    </row>
    <row r="56" spans="1:23">
      <c r="A56" s="2"/>
      <c r="B56" s="80"/>
      <c r="C56" s="81"/>
      <c r="D56" s="80"/>
      <c r="E56" s="81"/>
      <c r="F56" s="84"/>
      <c r="G56" s="85"/>
      <c r="H56" s="84"/>
      <c r="I56" s="85"/>
      <c r="J56" s="84"/>
      <c r="K56" s="84"/>
      <c r="L56" s="84"/>
      <c r="M56" s="84"/>
      <c r="N56" s="84">
        <v>1</v>
      </c>
      <c r="O56" s="84"/>
      <c r="P56" s="85"/>
      <c r="Q56" s="79"/>
      <c r="R56" s="79"/>
      <c r="S56" s="79"/>
      <c r="T56" s="79"/>
      <c r="U56" s="79"/>
      <c r="V56" s="79"/>
      <c r="W56" s="79"/>
    </row>
    <row r="57" spans="1:23">
      <c r="A57" s="2" t="s">
        <v>190</v>
      </c>
      <c r="B57" s="80">
        <v>2.72</v>
      </c>
      <c r="C57" s="81">
        <v>513</v>
      </c>
      <c r="D57" s="80">
        <v>4.0799</v>
      </c>
      <c r="E57" s="81">
        <v>349</v>
      </c>
      <c r="F57" s="84"/>
      <c r="G57" s="85"/>
      <c r="H57" s="84"/>
      <c r="I57" s="85"/>
      <c r="J57" s="84"/>
      <c r="K57" s="84"/>
      <c r="L57" s="84">
        <v>0</v>
      </c>
      <c r="M57" s="84">
        <v>0</v>
      </c>
      <c r="N57" s="84">
        <v>1</v>
      </c>
      <c r="O57" s="84"/>
      <c r="P57" s="85"/>
      <c r="Q57" s="79"/>
      <c r="R57" s="79" t="s">
        <v>157</v>
      </c>
      <c r="S57" s="79" t="s">
        <v>48</v>
      </c>
      <c r="T57" s="79" t="s">
        <v>36</v>
      </c>
      <c r="U57" s="79"/>
      <c r="V57" s="79" t="s">
        <v>46</v>
      </c>
      <c r="W57" s="79"/>
    </row>
    <row r="58" spans="1:23">
      <c r="A58" s="2" t="s">
        <v>191</v>
      </c>
      <c r="B58" s="80">
        <v>0.75</v>
      </c>
      <c r="C58" s="81"/>
      <c r="D58" s="80">
        <v>1.14</v>
      </c>
      <c r="E58" s="81"/>
      <c r="F58" s="84"/>
      <c r="G58" s="85"/>
      <c r="H58" s="84"/>
      <c r="I58" s="85"/>
      <c r="J58" s="84"/>
      <c r="K58" s="84"/>
      <c r="L58" s="84">
        <v>0</v>
      </c>
      <c r="M58" s="84">
        <v>0</v>
      </c>
      <c r="N58" s="84">
        <v>1</v>
      </c>
      <c r="O58" s="84"/>
      <c r="P58" s="85"/>
      <c r="Q58" s="79"/>
      <c r="R58" s="79" t="s">
        <v>131</v>
      </c>
      <c r="S58" s="79" t="s">
        <v>48</v>
      </c>
      <c r="T58" s="79" t="s">
        <v>36</v>
      </c>
      <c r="U58" s="79"/>
      <c r="V58" s="79"/>
      <c r="W58" s="79"/>
    </row>
    <row r="59" spans="1:23">
      <c r="A59" s="2" t="s">
        <v>192</v>
      </c>
      <c r="B59" s="80">
        <v>1.1775</v>
      </c>
      <c r="C59" s="81">
        <v>272</v>
      </c>
      <c r="D59" s="80">
        <v>1.7663</v>
      </c>
      <c r="E59" s="81">
        <v>152</v>
      </c>
      <c r="F59" s="84"/>
      <c r="G59" s="85"/>
      <c r="H59" s="84"/>
      <c r="I59" s="85"/>
      <c r="J59" s="84"/>
      <c r="K59" s="84"/>
      <c r="L59" s="84">
        <v>0</v>
      </c>
      <c r="M59" s="84">
        <v>0</v>
      </c>
      <c r="N59" s="84">
        <v>1</v>
      </c>
      <c r="O59" s="84"/>
      <c r="P59" s="85"/>
      <c r="Q59" s="79"/>
      <c r="R59" s="79" t="s">
        <v>157</v>
      </c>
      <c r="S59" s="79" t="s">
        <v>48</v>
      </c>
      <c r="T59" s="79" t="s">
        <v>36</v>
      </c>
      <c r="U59" s="79"/>
      <c r="V59" s="79" t="s">
        <v>193</v>
      </c>
      <c r="W59" s="79"/>
    </row>
    <row r="60" spans="1:23">
      <c r="A60" s="2" t="s">
        <v>194</v>
      </c>
      <c r="B60" s="80">
        <v>0.6</v>
      </c>
      <c r="C60" s="81"/>
      <c r="D60" s="80">
        <v>0.9</v>
      </c>
      <c r="E60" s="81"/>
      <c r="F60" s="84"/>
      <c r="G60" s="85"/>
      <c r="H60" s="84"/>
      <c r="I60" s="85"/>
      <c r="J60" s="84"/>
      <c r="K60" s="84"/>
      <c r="L60" s="84">
        <v>0</v>
      </c>
      <c r="M60" s="84">
        <v>0</v>
      </c>
      <c r="N60" s="84">
        <v>1</v>
      </c>
      <c r="O60" s="84"/>
      <c r="P60" s="85"/>
      <c r="Q60" s="79"/>
      <c r="R60" s="79" t="s">
        <v>131</v>
      </c>
      <c r="S60" s="79" t="s">
        <v>48</v>
      </c>
      <c r="T60" s="79" t="s">
        <v>36</v>
      </c>
      <c r="U60" s="79"/>
      <c r="V60" s="79"/>
      <c r="W60" s="79"/>
    </row>
    <row r="61" spans="1:23">
      <c r="A61" s="2" t="s">
        <v>195</v>
      </c>
      <c r="B61" s="80">
        <v>0.94</v>
      </c>
      <c r="C61" s="81">
        <v>217</v>
      </c>
      <c r="D61" s="80">
        <v>1.41</v>
      </c>
      <c r="E61" s="81">
        <v>121</v>
      </c>
      <c r="F61" s="84"/>
      <c r="G61" s="85"/>
      <c r="H61" s="84"/>
      <c r="I61" s="85"/>
      <c r="J61" s="84"/>
      <c r="K61" s="84"/>
      <c r="L61" s="84">
        <v>0</v>
      </c>
      <c r="M61" s="84">
        <v>0</v>
      </c>
      <c r="N61" s="84">
        <v>1</v>
      </c>
      <c r="O61" s="84"/>
      <c r="P61" s="85"/>
      <c r="Q61" s="79">
        <v>1</v>
      </c>
      <c r="R61" s="79" t="s">
        <v>157</v>
      </c>
      <c r="S61" s="79" t="s">
        <v>48</v>
      </c>
      <c r="T61" s="79" t="s">
        <v>36</v>
      </c>
      <c r="U61" s="79"/>
      <c r="V61" s="79"/>
      <c r="W61" s="79"/>
    </row>
    <row r="62" spans="1:23">
      <c r="A62" s="2" t="s">
        <v>196</v>
      </c>
      <c r="B62" s="80">
        <v>0.321</v>
      </c>
      <c r="C62" s="81">
        <v>74</v>
      </c>
      <c r="D62" s="80">
        <v>0.4814</v>
      </c>
      <c r="E62" s="81">
        <v>41</v>
      </c>
      <c r="F62" s="84"/>
      <c r="G62" s="85"/>
      <c r="H62" s="84"/>
      <c r="I62" s="85"/>
      <c r="J62" s="84"/>
      <c r="K62" s="84"/>
      <c r="L62" s="84">
        <v>0</v>
      </c>
      <c r="M62" s="84">
        <v>0</v>
      </c>
      <c r="N62" s="84">
        <v>1</v>
      </c>
      <c r="O62" s="84"/>
      <c r="P62" s="85"/>
      <c r="Q62" s="79"/>
      <c r="R62" s="79" t="s">
        <v>157</v>
      </c>
      <c r="S62" s="79" t="s">
        <v>49</v>
      </c>
      <c r="T62" s="79" t="s">
        <v>36</v>
      </c>
      <c r="U62" s="79"/>
      <c r="V62" s="79" t="s">
        <v>47</v>
      </c>
      <c r="W62" s="79"/>
    </row>
    <row r="63" spans="1:23">
      <c r="A63" s="2" t="s">
        <v>197</v>
      </c>
      <c r="B63" s="80">
        <v>2.14</v>
      </c>
      <c r="C63" s="81">
        <v>493</v>
      </c>
      <c r="D63" s="80">
        <v>3.2094</v>
      </c>
      <c r="E63" s="81">
        <v>274</v>
      </c>
      <c r="F63" s="84"/>
      <c r="G63" s="85"/>
      <c r="H63" s="84"/>
      <c r="I63" s="85"/>
      <c r="J63" s="84"/>
      <c r="K63" s="84"/>
      <c r="L63" s="84">
        <v>0</v>
      </c>
      <c r="M63" s="84">
        <v>0</v>
      </c>
      <c r="N63" s="84">
        <v>1</v>
      </c>
      <c r="O63" s="84"/>
      <c r="P63" s="85"/>
      <c r="Q63" s="79"/>
      <c r="R63" s="79" t="s">
        <v>157</v>
      </c>
      <c r="S63" s="79" t="s">
        <v>49</v>
      </c>
      <c r="T63" s="79" t="s">
        <v>36</v>
      </c>
      <c r="U63" s="79"/>
      <c r="V63" s="79" t="s">
        <v>47</v>
      </c>
      <c r="W63" s="79"/>
    </row>
    <row r="64" spans="1:23">
      <c r="A64" s="2" t="s">
        <v>198</v>
      </c>
      <c r="B64" s="80">
        <v>1.7118</v>
      </c>
      <c r="C64" s="81">
        <v>396</v>
      </c>
      <c r="D64" s="80">
        <v>2.5677</v>
      </c>
      <c r="E64" s="81">
        <v>221</v>
      </c>
      <c r="F64" s="84"/>
      <c r="G64" s="85"/>
      <c r="H64" s="84"/>
      <c r="I64" s="85"/>
      <c r="J64" s="84"/>
      <c r="K64" s="84"/>
      <c r="L64" s="84">
        <v>0</v>
      </c>
      <c r="M64" s="84">
        <v>0</v>
      </c>
      <c r="N64" s="84">
        <v>1</v>
      </c>
      <c r="O64" s="84"/>
      <c r="P64" s="85"/>
      <c r="Q64" s="79"/>
      <c r="R64" s="79" t="s">
        <v>157</v>
      </c>
      <c r="S64" s="79" t="s">
        <v>49</v>
      </c>
      <c r="T64" s="79" t="s">
        <v>36</v>
      </c>
      <c r="U64" s="79"/>
      <c r="V64" s="79"/>
      <c r="W64" s="79"/>
    </row>
    <row r="65" spans="1:23">
      <c r="A65" s="2" t="s">
        <v>199</v>
      </c>
      <c r="B65" s="80">
        <v>0.68472</v>
      </c>
      <c r="C65" s="81">
        <v>158.4</v>
      </c>
      <c r="D65" s="80">
        <v>1.02708</v>
      </c>
      <c r="E65" s="81">
        <v>88.4</v>
      </c>
      <c r="F65" s="84"/>
      <c r="G65" s="85"/>
      <c r="H65" s="84"/>
      <c r="I65" s="85"/>
      <c r="J65" s="84"/>
      <c r="K65" s="84"/>
      <c r="L65" s="84">
        <v>0</v>
      </c>
      <c r="M65" s="84">
        <v>0</v>
      </c>
      <c r="N65" s="84">
        <v>1</v>
      </c>
      <c r="O65" s="84"/>
      <c r="P65" s="85"/>
      <c r="Q65" s="79"/>
      <c r="R65" s="79" t="s">
        <v>157</v>
      </c>
      <c r="S65" s="79" t="s">
        <v>49</v>
      </c>
      <c r="T65" s="79" t="s">
        <v>36</v>
      </c>
      <c r="U65" s="79"/>
      <c r="V65" s="79"/>
      <c r="W65" s="79"/>
    </row>
    <row r="66" spans="1:23">
      <c r="A66" s="2" t="s">
        <v>200</v>
      </c>
      <c r="B66" s="80">
        <v>1.02708</v>
      </c>
      <c r="C66" s="81">
        <v>237.6</v>
      </c>
      <c r="D66" s="80">
        <v>1.54062</v>
      </c>
      <c r="E66" s="81">
        <v>132.6</v>
      </c>
      <c r="F66" s="84"/>
      <c r="G66" s="85"/>
      <c r="H66" s="84"/>
      <c r="I66" s="85"/>
      <c r="J66" s="84"/>
      <c r="K66" s="84"/>
      <c r="L66" s="84">
        <v>0</v>
      </c>
      <c r="M66" s="84">
        <v>0</v>
      </c>
      <c r="N66" s="84">
        <v>1</v>
      </c>
      <c r="O66" s="84"/>
      <c r="P66" s="85"/>
      <c r="Q66" s="79"/>
      <c r="R66" s="79" t="s">
        <v>157</v>
      </c>
      <c r="S66" s="79" t="s">
        <v>49</v>
      </c>
      <c r="T66" s="79" t="s">
        <v>36</v>
      </c>
      <c r="U66" s="79"/>
      <c r="V66" s="79"/>
      <c r="W66" s="79"/>
    </row>
    <row r="67" spans="1:23">
      <c r="A67" s="2" t="s">
        <v>201</v>
      </c>
      <c r="B67" s="80">
        <v>6.2226</v>
      </c>
      <c r="C67" s="81">
        <v>1436</v>
      </c>
      <c r="D67" s="80">
        <v>9.3339</v>
      </c>
      <c r="E67" s="81">
        <v>803</v>
      </c>
      <c r="F67" s="84"/>
      <c r="G67" s="85"/>
      <c r="H67" s="84"/>
      <c r="I67" s="85"/>
      <c r="J67" s="84"/>
      <c r="K67" s="84"/>
      <c r="L67" s="84">
        <v>0</v>
      </c>
      <c r="M67" s="84">
        <v>0</v>
      </c>
      <c r="N67" s="84">
        <v>1</v>
      </c>
      <c r="O67" s="84"/>
      <c r="P67" s="85"/>
      <c r="Q67" s="79">
        <v>1</v>
      </c>
      <c r="R67" s="79" t="s">
        <v>157</v>
      </c>
      <c r="S67" s="79" t="s">
        <v>49</v>
      </c>
      <c r="T67" s="79" t="s">
        <v>36</v>
      </c>
      <c r="U67" s="79"/>
      <c r="V67" s="79"/>
      <c r="W67" s="79"/>
    </row>
    <row r="68" spans="1:23">
      <c r="A68" s="2" t="s">
        <v>202</v>
      </c>
      <c r="B68" s="80">
        <v>0.373356</v>
      </c>
      <c r="C68" s="81">
        <v>86.16</v>
      </c>
      <c r="D68" s="80">
        <v>0.560034</v>
      </c>
      <c r="E68" s="81">
        <v>48.18</v>
      </c>
      <c r="F68" s="84"/>
      <c r="G68" s="85"/>
      <c r="H68" s="84"/>
      <c r="I68" s="85"/>
      <c r="J68" s="84"/>
      <c r="K68" s="84"/>
      <c r="L68" s="84">
        <v>0</v>
      </c>
      <c r="M68" s="84">
        <v>0</v>
      </c>
      <c r="N68" s="84">
        <v>1</v>
      </c>
      <c r="O68" s="84"/>
      <c r="P68" s="85"/>
      <c r="Q68" s="79">
        <v>1</v>
      </c>
      <c r="R68" s="79" t="s">
        <v>157</v>
      </c>
      <c r="S68" s="79" t="s">
        <v>49</v>
      </c>
      <c r="T68" s="79" t="s">
        <v>36</v>
      </c>
      <c r="U68" s="79"/>
      <c r="V68" s="79"/>
      <c r="W68" s="79"/>
    </row>
    <row r="69" spans="1:23">
      <c r="A69" s="2" t="s">
        <v>203</v>
      </c>
      <c r="B69" s="80">
        <v>1.86678</v>
      </c>
      <c r="C69" s="81">
        <v>430.8</v>
      </c>
      <c r="D69" s="80">
        <v>2.80017</v>
      </c>
      <c r="E69" s="81">
        <v>240.9</v>
      </c>
      <c r="F69" s="84"/>
      <c r="G69" s="85"/>
      <c r="H69" s="84"/>
      <c r="I69" s="85"/>
      <c r="J69" s="84"/>
      <c r="K69" s="84"/>
      <c r="L69" s="84">
        <v>0</v>
      </c>
      <c r="M69" s="84">
        <v>0</v>
      </c>
      <c r="N69" s="84">
        <v>1</v>
      </c>
      <c r="O69" s="84"/>
      <c r="P69" s="85"/>
      <c r="Q69" s="79">
        <v>1</v>
      </c>
      <c r="R69" s="79" t="s">
        <v>157</v>
      </c>
      <c r="S69" s="79" t="s">
        <v>49</v>
      </c>
      <c r="T69" s="79" t="s">
        <v>36</v>
      </c>
      <c r="U69" s="79"/>
      <c r="V69" s="79"/>
      <c r="W69" s="79"/>
    </row>
    <row r="70" spans="1:23">
      <c r="A70" s="2" t="s">
        <v>204</v>
      </c>
      <c r="B70" s="80">
        <v>0.165</v>
      </c>
      <c r="C70" s="81"/>
      <c r="D70" s="80">
        <v>0.2475</v>
      </c>
      <c r="E70" s="81"/>
      <c r="F70" s="84"/>
      <c r="G70" s="85"/>
      <c r="H70" s="84"/>
      <c r="I70" s="85"/>
      <c r="J70" s="84"/>
      <c r="K70" s="84"/>
      <c r="L70" s="84">
        <v>0</v>
      </c>
      <c r="M70" s="84">
        <v>0</v>
      </c>
      <c r="N70" s="84">
        <v>1</v>
      </c>
      <c r="O70" s="84"/>
      <c r="P70" s="85">
        <v>15</v>
      </c>
      <c r="Q70" s="79"/>
      <c r="R70" s="79" t="s">
        <v>157</v>
      </c>
      <c r="S70" s="79" t="s">
        <v>48</v>
      </c>
      <c r="T70" s="79" t="s">
        <v>36</v>
      </c>
      <c r="U70" s="79" t="s">
        <v>144</v>
      </c>
      <c r="V70" s="79" t="s">
        <v>51</v>
      </c>
      <c r="W70" s="79"/>
    </row>
    <row r="71" spans="1:23">
      <c r="A71" s="2" t="s">
        <v>205</v>
      </c>
      <c r="B71" s="80">
        <v>0.264</v>
      </c>
      <c r="C71" s="81"/>
      <c r="D71" s="80">
        <v>0.396</v>
      </c>
      <c r="E71" s="81"/>
      <c r="F71" s="84"/>
      <c r="G71" s="85"/>
      <c r="H71" s="84"/>
      <c r="I71" s="85"/>
      <c r="J71" s="84"/>
      <c r="K71" s="84"/>
      <c r="L71" s="84">
        <v>0</v>
      </c>
      <c r="M71" s="84">
        <v>0</v>
      </c>
      <c r="N71" s="84">
        <v>1</v>
      </c>
      <c r="O71" s="84"/>
      <c r="P71" s="85">
        <v>15</v>
      </c>
      <c r="Q71" s="79"/>
      <c r="R71" s="79" t="s">
        <v>157</v>
      </c>
      <c r="S71" s="79" t="s">
        <v>48</v>
      </c>
      <c r="T71" s="79" t="s">
        <v>36</v>
      </c>
      <c r="U71" s="79" t="s">
        <v>144</v>
      </c>
      <c r="V71" s="79" t="s">
        <v>51</v>
      </c>
      <c r="W71" s="79"/>
    </row>
    <row r="72" spans="1:23">
      <c r="A72" s="2" t="s">
        <v>206</v>
      </c>
      <c r="B72" s="80">
        <v>0.33</v>
      </c>
      <c r="C72" s="81"/>
      <c r="D72" s="80">
        <v>0.495</v>
      </c>
      <c r="E72" s="81"/>
      <c r="F72" s="84"/>
      <c r="G72" s="85"/>
      <c r="H72" s="84"/>
      <c r="I72" s="85"/>
      <c r="J72" s="84"/>
      <c r="K72" s="84"/>
      <c r="L72" s="84">
        <v>0</v>
      </c>
      <c r="M72" s="84">
        <v>0</v>
      </c>
      <c r="N72" s="84">
        <v>1</v>
      </c>
      <c r="O72" s="84"/>
      <c r="P72" s="85">
        <v>15</v>
      </c>
      <c r="Q72" s="79"/>
      <c r="R72" s="79" t="s">
        <v>157</v>
      </c>
      <c r="S72" s="79" t="s">
        <v>48</v>
      </c>
      <c r="T72" s="79" t="s">
        <v>36</v>
      </c>
      <c r="U72" s="79" t="s">
        <v>144</v>
      </c>
      <c r="V72" s="79" t="s">
        <v>51</v>
      </c>
      <c r="W72" s="79"/>
    </row>
    <row r="73" spans="1:23">
      <c r="A73" s="2" t="s">
        <v>207</v>
      </c>
      <c r="B73" s="80">
        <v>2.4</v>
      </c>
      <c r="C73" s="81"/>
      <c r="D73" s="80">
        <v>3.6</v>
      </c>
      <c r="E73" s="81"/>
      <c r="F73" s="84"/>
      <c r="G73" s="85"/>
      <c r="H73" s="84"/>
      <c r="I73" s="85"/>
      <c r="J73" s="84"/>
      <c r="K73" s="84"/>
      <c r="L73" s="84">
        <v>0</v>
      </c>
      <c r="M73" s="84">
        <v>0.3</v>
      </c>
      <c r="N73" s="84">
        <v>1</v>
      </c>
      <c r="O73" s="84"/>
      <c r="P73" s="85">
        <v>15</v>
      </c>
      <c r="Q73" s="79"/>
      <c r="R73" s="79" t="s">
        <v>157</v>
      </c>
      <c r="S73" s="79" t="s">
        <v>48</v>
      </c>
      <c r="T73" s="79" t="s">
        <v>36</v>
      </c>
      <c r="U73" s="79"/>
      <c r="V73" s="79" t="s">
        <v>51</v>
      </c>
      <c r="W73" s="79"/>
    </row>
    <row r="74" spans="1:23">
      <c r="A74" s="2"/>
      <c r="B74" s="80"/>
      <c r="C74" s="81"/>
      <c r="D74" s="80"/>
      <c r="E74" s="81"/>
      <c r="F74" s="84"/>
      <c r="G74" s="85"/>
      <c r="H74" s="84"/>
      <c r="I74" s="85"/>
      <c r="J74" s="84"/>
      <c r="K74" s="84"/>
      <c r="L74" s="84"/>
      <c r="M74" s="84"/>
      <c r="N74" s="84">
        <v>1</v>
      </c>
      <c r="O74" s="84"/>
      <c r="P74" s="85"/>
      <c r="Q74" s="79"/>
      <c r="R74" s="79"/>
      <c r="S74" s="79"/>
      <c r="T74" s="79"/>
      <c r="U74" s="79"/>
      <c r="V74" s="79"/>
      <c r="W74" s="79"/>
    </row>
    <row r="75" spans="1:23">
      <c r="A75" s="2" t="s">
        <v>208</v>
      </c>
      <c r="B75" s="80">
        <v>1.0252</v>
      </c>
      <c r="C75" s="81">
        <v>236</v>
      </c>
      <c r="D75" s="80">
        <v>1.5378</v>
      </c>
      <c r="E75" s="81">
        <v>132</v>
      </c>
      <c r="F75" s="84"/>
      <c r="G75" s="85"/>
      <c r="H75" s="84"/>
      <c r="I75" s="85"/>
      <c r="J75" s="84"/>
      <c r="K75" s="84"/>
      <c r="L75" s="84"/>
      <c r="M75" s="84"/>
      <c r="N75" s="84">
        <v>1</v>
      </c>
      <c r="O75" s="84"/>
      <c r="P75" s="85"/>
      <c r="Q75" s="79"/>
      <c r="R75" s="79" t="s">
        <v>157</v>
      </c>
      <c r="S75" s="79" t="s">
        <v>48</v>
      </c>
      <c r="T75" s="79" t="s">
        <v>36</v>
      </c>
      <c r="U75" s="79"/>
      <c r="V75" s="79"/>
      <c r="W75" s="79"/>
    </row>
    <row r="76" spans="1:23">
      <c r="A76" s="2" t="s">
        <v>209</v>
      </c>
      <c r="B76" s="80">
        <v>1.5378</v>
      </c>
      <c r="C76" s="81">
        <v>355</v>
      </c>
      <c r="D76" s="80">
        <v>2.3067</v>
      </c>
      <c r="E76" s="81">
        <v>198</v>
      </c>
      <c r="F76" s="84"/>
      <c r="G76" s="85"/>
      <c r="H76" s="84"/>
      <c r="I76" s="85"/>
      <c r="J76" s="84"/>
      <c r="K76" s="84"/>
      <c r="L76" s="84"/>
      <c r="M76" s="84"/>
      <c r="N76" s="84">
        <v>1</v>
      </c>
      <c r="O76" s="84"/>
      <c r="P76" s="85"/>
      <c r="Q76" s="79"/>
      <c r="R76" s="79" t="s">
        <v>157</v>
      </c>
      <c r="S76" s="79" t="s">
        <v>48</v>
      </c>
      <c r="T76" s="79" t="s">
        <v>36</v>
      </c>
      <c r="U76" s="79"/>
      <c r="V76" s="79"/>
      <c r="W76" s="79"/>
    </row>
    <row r="77" spans="1:23">
      <c r="A77" s="2" t="s">
        <v>210</v>
      </c>
      <c r="B77" s="80">
        <v>2.563</v>
      </c>
      <c r="C77" s="81">
        <v>592</v>
      </c>
      <c r="D77" s="80">
        <v>3.8446</v>
      </c>
      <c r="E77" s="81">
        <v>331</v>
      </c>
      <c r="F77" s="84"/>
      <c r="G77" s="85"/>
      <c r="H77" s="84"/>
      <c r="I77" s="85"/>
      <c r="J77" s="84"/>
      <c r="K77" s="84"/>
      <c r="L77" s="84"/>
      <c r="M77" s="84"/>
      <c r="N77" s="84">
        <v>1</v>
      </c>
      <c r="O77" s="84"/>
      <c r="P77" s="85"/>
      <c r="Q77" s="79"/>
      <c r="R77" s="79" t="s">
        <v>157</v>
      </c>
      <c r="S77" s="79" t="s">
        <v>48</v>
      </c>
      <c r="T77" s="79" t="s">
        <v>36</v>
      </c>
      <c r="U77" s="79"/>
      <c r="V77" s="79"/>
      <c r="W77" s="79"/>
    </row>
    <row r="78" spans="1:23">
      <c r="A78" s="2" t="s">
        <v>211</v>
      </c>
      <c r="B78" s="80">
        <v>1.5098</v>
      </c>
      <c r="C78" s="81">
        <v>349</v>
      </c>
      <c r="D78" s="80">
        <v>2.2647</v>
      </c>
      <c r="E78" s="81">
        <v>195</v>
      </c>
      <c r="F78" s="84"/>
      <c r="G78" s="85"/>
      <c r="H78" s="84"/>
      <c r="I78" s="85"/>
      <c r="J78" s="84"/>
      <c r="K78" s="84"/>
      <c r="L78" s="84"/>
      <c r="M78" s="84"/>
      <c r="N78" s="84">
        <v>1</v>
      </c>
      <c r="O78" s="84"/>
      <c r="P78" s="85"/>
      <c r="Q78" s="79">
        <v>1</v>
      </c>
      <c r="R78" s="79" t="s">
        <v>157</v>
      </c>
      <c r="S78" s="79" t="s">
        <v>48</v>
      </c>
      <c r="T78" s="79" t="s">
        <v>36</v>
      </c>
      <c r="U78" s="79"/>
      <c r="V78" s="79" t="s">
        <v>37</v>
      </c>
      <c r="W78" s="79"/>
    </row>
    <row r="79" spans="1:23">
      <c r="A79" s="2" t="s">
        <v>212</v>
      </c>
      <c r="B79" s="80">
        <v>3.2659</v>
      </c>
      <c r="C79" s="81">
        <v>755</v>
      </c>
      <c r="D79" s="80">
        <v>4.8988</v>
      </c>
      <c r="E79" s="81">
        <v>422</v>
      </c>
      <c r="F79" s="84"/>
      <c r="G79" s="85"/>
      <c r="H79" s="84"/>
      <c r="I79" s="85"/>
      <c r="J79" s="84"/>
      <c r="K79" s="84"/>
      <c r="L79" s="84"/>
      <c r="M79" s="84"/>
      <c r="N79" s="84">
        <v>1</v>
      </c>
      <c r="O79" s="84"/>
      <c r="P79" s="85"/>
      <c r="Q79" s="79">
        <v>1</v>
      </c>
      <c r="R79" s="79" t="s">
        <v>157</v>
      </c>
      <c r="S79" s="79" t="s">
        <v>48</v>
      </c>
      <c r="T79" s="79" t="s">
        <v>36</v>
      </c>
      <c r="U79" s="79"/>
      <c r="V79" s="79" t="s">
        <v>37</v>
      </c>
      <c r="W79" s="79"/>
    </row>
    <row r="80" spans="1:23">
      <c r="A80" s="2" t="s">
        <v>213</v>
      </c>
      <c r="B80" s="80">
        <v>1.3064</v>
      </c>
      <c r="C80" s="81">
        <v>302</v>
      </c>
      <c r="D80" s="80">
        <v>1.9595</v>
      </c>
      <c r="E80" s="81">
        <v>168</v>
      </c>
      <c r="F80" s="84"/>
      <c r="G80" s="85"/>
      <c r="H80" s="84"/>
      <c r="I80" s="85"/>
      <c r="J80" s="84"/>
      <c r="K80" s="84"/>
      <c r="L80" s="84"/>
      <c r="M80" s="84"/>
      <c r="N80" s="84">
        <v>1</v>
      </c>
      <c r="O80" s="84">
        <v>0.05</v>
      </c>
      <c r="P80" s="85"/>
      <c r="Q80" s="79">
        <v>1</v>
      </c>
      <c r="R80" s="79" t="s">
        <v>157</v>
      </c>
      <c r="S80" s="79" t="s">
        <v>48</v>
      </c>
      <c r="T80" s="79" t="s">
        <v>36</v>
      </c>
      <c r="U80" s="79"/>
      <c r="V80" s="79" t="s">
        <v>37</v>
      </c>
      <c r="W80" s="79"/>
    </row>
    <row r="81" spans="1:23">
      <c r="A81" s="2" t="s">
        <v>214</v>
      </c>
      <c r="B81" s="80">
        <v>1.5676</v>
      </c>
      <c r="C81" s="81">
        <v>362</v>
      </c>
      <c r="D81" s="80">
        <v>2.3514</v>
      </c>
      <c r="E81" s="81">
        <v>202</v>
      </c>
      <c r="F81" s="84"/>
      <c r="G81" s="85"/>
      <c r="H81" s="84"/>
      <c r="I81" s="85"/>
      <c r="J81" s="84"/>
      <c r="K81" s="84"/>
      <c r="L81" s="84"/>
      <c r="M81" s="84"/>
      <c r="N81" s="84">
        <v>1</v>
      </c>
      <c r="O81" s="84">
        <v>0.1</v>
      </c>
      <c r="P81" s="85"/>
      <c r="Q81" s="79">
        <v>1</v>
      </c>
      <c r="R81" s="79" t="s">
        <v>157</v>
      </c>
      <c r="S81" s="79" t="s">
        <v>48</v>
      </c>
      <c r="T81" s="79" t="s">
        <v>36</v>
      </c>
      <c r="U81" s="79"/>
      <c r="V81" s="79" t="s">
        <v>37</v>
      </c>
      <c r="W81" s="79"/>
    </row>
    <row r="82" spans="1:23">
      <c r="A82" s="2" t="s">
        <v>215</v>
      </c>
      <c r="B82" s="80">
        <v>1.8289</v>
      </c>
      <c r="C82" s="81">
        <v>422</v>
      </c>
      <c r="D82" s="80">
        <v>2.7434</v>
      </c>
      <c r="E82" s="81">
        <v>236</v>
      </c>
      <c r="F82" s="84"/>
      <c r="G82" s="85"/>
      <c r="H82" s="84"/>
      <c r="I82" s="85"/>
      <c r="J82" s="84"/>
      <c r="K82" s="84"/>
      <c r="L82" s="84"/>
      <c r="M82" s="84"/>
      <c r="N82" s="84">
        <v>1</v>
      </c>
      <c r="O82" s="84">
        <v>0.15</v>
      </c>
      <c r="P82" s="85"/>
      <c r="Q82" s="79">
        <v>1</v>
      </c>
      <c r="R82" s="79" t="s">
        <v>157</v>
      </c>
      <c r="S82" s="79" t="s">
        <v>48</v>
      </c>
      <c r="T82" s="79" t="s">
        <v>36</v>
      </c>
      <c r="U82" s="79"/>
      <c r="V82" s="79" t="s">
        <v>37</v>
      </c>
      <c r="W82" s="79"/>
    </row>
    <row r="83" spans="1:23">
      <c r="A83" s="2" t="s">
        <v>216</v>
      </c>
      <c r="B83" s="80">
        <v>4.7029</v>
      </c>
      <c r="C83" s="81">
        <v>1086</v>
      </c>
      <c r="D83" s="80">
        <v>7.0543</v>
      </c>
      <c r="E83" s="81">
        <v>606</v>
      </c>
      <c r="F83" s="84"/>
      <c r="G83" s="85"/>
      <c r="H83" s="84"/>
      <c r="I83" s="85"/>
      <c r="J83" s="84"/>
      <c r="K83" s="84"/>
      <c r="L83" s="84"/>
      <c r="M83" s="84">
        <v>0.18</v>
      </c>
      <c r="N83" s="84">
        <v>1</v>
      </c>
      <c r="O83" s="84">
        <v>0.15</v>
      </c>
      <c r="P83" s="85"/>
      <c r="Q83" s="79">
        <v>1</v>
      </c>
      <c r="R83" s="79" t="s">
        <v>157</v>
      </c>
      <c r="S83" s="79" t="s">
        <v>48</v>
      </c>
      <c r="T83" s="79" t="s">
        <v>36</v>
      </c>
      <c r="U83" s="79"/>
      <c r="V83" s="79" t="s">
        <v>37</v>
      </c>
      <c r="W83" s="79"/>
    </row>
    <row r="84" spans="1:23">
      <c r="A84" s="2" t="s">
        <v>217</v>
      </c>
      <c r="B84" s="80">
        <v>1.767</v>
      </c>
      <c r="C84" s="81">
        <v>409</v>
      </c>
      <c r="D84" s="80">
        <v>2.6505</v>
      </c>
      <c r="E84" s="81">
        <v>228</v>
      </c>
      <c r="F84" s="84"/>
      <c r="G84" s="85"/>
      <c r="H84" s="84"/>
      <c r="I84" s="85"/>
      <c r="J84" s="84"/>
      <c r="K84" s="84"/>
      <c r="L84" s="84"/>
      <c r="M84" s="84">
        <v>0.18</v>
      </c>
      <c r="N84" s="84">
        <v>1</v>
      </c>
      <c r="O84" s="84"/>
      <c r="P84" s="85"/>
      <c r="Q84" s="79"/>
      <c r="R84" s="79" t="s">
        <v>157</v>
      </c>
      <c r="S84" s="79" t="s">
        <v>48</v>
      </c>
      <c r="T84" s="79" t="s">
        <v>36</v>
      </c>
      <c r="U84" s="79"/>
      <c r="V84" s="79"/>
      <c r="W84" s="79"/>
    </row>
    <row r="85" spans="1:23">
      <c r="A85" s="2" t="s">
        <v>218</v>
      </c>
      <c r="B85" s="80">
        <v>0.5727</v>
      </c>
      <c r="C85" s="81">
        <v>133</v>
      </c>
      <c r="D85" s="80">
        <v>0.859</v>
      </c>
      <c r="E85" s="81">
        <v>74</v>
      </c>
      <c r="F85" s="84"/>
      <c r="G85" s="85"/>
      <c r="H85" s="84"/>
      <c r="I85" s="85"/>
      <c r="J85" s="84"/>
      <c r="K85" s="84"/>
      <c r="L85" s="84"/>
      <c r="M85" s="84"/>
      <c r="N85" s="84">
        <v>1</v>
      </c>
      <c r="O85" s="84"/>
      <c r="P85" s="85"/>
      <c r="Q85" s="79"/>
      <c r="R85" s="79" t="s">
        <v>157</v>
      </c>
      <c r="S85" s="79" t="s">
        <v>49</v>
      </c>
      <c r="T85" s="79" t="s">
        <v>36</v>
      </c>
      <c r="U85" s="79"/>
      <c r="V85" s="79"/>
      <c r="W85" s="79"/>
    </row>
    <row r="86" spans="1:23">
      <c r="A86" s="2"/>
      <c r="B86" s="80"/>
      <c r="C86" s="81"/>
      <c r="D86" s="80"/>
      <c r="E86" s="81"/>
      <c r="F86" s="84"/>
      <c r="G86" s="85"/>
      <c r="H86" s="84"/>
      <c r="I86" s="85"/>
      <c r="J86" s="84"/>
      <c r="K86" s="84"/>
      <c r="L86" s="84"/>
      <c r="M86" s="84"/>
      <c r="N86" s="84">
        <v>1</v>
      </c>
      <c r="O86" s="84"/>
      <c r="P86" s="85"/>
      <c r="Q86" s="79"/>
      <c r="R86" s="79"/>
      <c r="S86" s="79"/>
      <c r="T86" s="79"/>
      <c r="U86" s="79"/>
      <c r="V86" s="79"/>
      <c r="W86" s="79"/>
    </row>
    <row r="87" spans="1:23">
      <c r="A87" s="2" t="s">
        <v>219</v>
      </c>
      <c r="B87" s="80">
        <v>3.1423</v>
      </c>
      <c r="C87" s="81">
        <v>725</v>
      </c>
      <c r="D87" s="80">
        <v>4.7134</v>
      </c>
      <c r="E87" s="81">
        <v>405</v>
      </c>
      <c r="F87" s="84"/>
      <c r="G87" s="85"/>
      <c r="H87" s="84"/>
      <c r="I87" s="85"/>
      <c r="J87" s="84"/>
      <c r="K87" s="84"/>
      <c r="L87" s="84"/>
      <c r="M87" s="84"/>
      <c r="N87" s="84">
        <v>1</v>
      </c>
      <c r="O87" s="84">
        <f>IF(套装="连星",15%,0)</f>
        <v>0</v>
      </c>
      <c r="P87" s="85"/>
      <c r="Q87" s="79"/>
      <c r="R87" s="79" t="s">
        <v>157</v>
      </c>
      <c r="S87" s="79" t="s">
        <v>98</v>
      </c>
      <c r="T87" s="79" t="s">
        <v>89</v>
      </c>
      <c r="U87" s="79"/>
      <c r="V87" s="79"/>
      <c r="W87" s="79"/>
    </row>
    <row r="88" spans="1:23">
      <c r="A88" s="2" t="s">
        <v>220</v>
      </c>
      <c r="B88" s="80">
        <v>1.1132</v>
      </c>
      <c r="C88" s="81">
        <v>258</v>
      </c>
      <c r="D88" s="80">
        <v>1.6699</v>
      </c>
      <c r="E88" s="81">
        <v>144</v>
      </c>
      <c r="F88" s="84"/>
      <c r="G88" s="85"/>
      <c r="H88" s="84"/>
      <c r="I88" s="85"/>
      <c r="J88" s="84"/>
      <c r="K88" s="84"/>
      <c r="L88" s="84"/>
      <c r="M88" s="84"/>
      <c r="N88" s="84">
        <v>1</v>
      </c>
      <c r="O88" s="84" cm="1">
        <f t="array" ref="O88">checkxinf("绳舟行木",5%,0)</f>
        <v>0</v>
      </c>
      <c r="P88" s="85"/>
      <c r="Q88" s="79">
        <v>1</v>
      </c>
      <c r="R88" s="79" t="s">
        <v>157</v>
      </c>
      <c r="S88" s="79" t="s">
        <v>98</v>
      </c>
      <c r="T88" s="79" t="s">
        <v>89</v>
      </c>
      <c r="U88" s="79"/>
      <c r="V88" s="79"/>
      <c r="W88" s="79"/>
    </row>
    <row r="89" spans="1:23">
      <c r="A89" s="2" t="s">
        <v>221</v>
      </c>
      <c r="B89" s="80">
        <v>0.7834</v>
      </c>
      <c r="C89" s="81">
        <v>182</v>
      </c>
      <c r="D89" s="80">
        <v>1.1751</v>
      </c>
      <c r="E89" s="81">
        <v>101</v>
      </c>
      <c r="F89" s="84"/>
      <c r="G89" s="85"/>
      <c r="H89" s="84"/>
      <c r="I89" s="85"/>
      <c r="J89" s="84"/>
      <c r="K89" s="84"/>
      <c r="L89" s="84"/>
      <c r="M89" s="84"/>
      <c r="N89" s="84">
        <v>1</v>
      </c>
      <c r="O89" s="84" cm="1">
        <f t="array" ref="O89">checkxinf("绳舟行木",10%,0)</f>
        <v>0</v>
      </c>
      <c r="P89" s="85"/>
      <c r="Q89" s="79">
        <v>1</v>
      </c>
      <c r="R89" s="79" t="s">
        <v>157</v>
      </c>
      <c r="S89" s="79" t="s">
        <v>98</v>
      </c>
      <c r="T89" s="79" t="s">
        <v>89</v>
      </c>
      <c r="U89" s="79"/>
      <c r="V89" s="79"/>
      <c r="W89" s="79"/>
    </row>
    <row r="90" spans="1:23">
      <c r="A90" s="2" t="s">
        <v>222</v>
      </c>
      <c r="B90" s="80">
        <v>1.7237</v>
      </c>
      <c r="C90" s="81">
        <v>399</v>
      </c>
      <c r="D90" s="80">
        <v>2.5855</v>
      </c>
      <c r="E90" s="81">
        <v>223</v>
      </c>
      <c r="F90" s="84"/>
      <c r="G90" s="85"/>
      <c r="H90" s="84"/>
      <c r="I90" s="85"/>
      <c r="J90" s="84"/>
      <c r="K90" s="84"/>
      <c r="L90" s="84"/>
      <c r="M90" s="84"/>
      <c r="N90" s="84">
        <v>1</v>
      </c>
      <c r="O90" s="84" cm="1">
        <f t="array" ref="O90">checkxinf("绳舟行木",15%,0)</f>
        <v>0</v>
      </c>
      <c r="P90" s="85"/>
      <c r="Q90" s="79">
        <v>1</v>
      </c>
      <c r="R90" s="79" t="s">
        <v>157</v>
      </c>
      <c r="S90" s="79" t="s">
        <v>98</v>
      </c>
      <c r="T90" s="79" t="s">
        <v>89</v>
      </c>
      <c r="U90" s="79"/>
      <c r="V90" s="79"/>
      <c r="W90" s="79"/>
    </row>
    <row r="91" spans="1:23">
      <c r="A91" s="2" t="s">
        <v>223</v>
      </c>
      <c r="B91" s="80">
        <v>2.298</v>
      </c>
      <c r="C91" s="81">
        <v>531</v>
      </c>
      <c r="D91" s="80">
        <v>3.4471</v>
      </c>
      <c r="E91" s="81">
        <v>297</v>
      </c>
      <c r="F91" s="84"/>
      <c r="G91" s="85"/>
      <c r="H91" s="84"/>
      <c r="I91" s="85"/>
      <c r="J91" s="84"/>
      <c r="K91" s="84"/>
      <c r="L91" s="84"/>
      <c r="M91" s="84"/>
      <c r="N91" s="84">
        <v>1</v>
      </c>
      <c r="O91" s="84" cm="1">
        <f t="array" ref="O91">Checkxinfa("绳舟行木","六重",15%,0)</f>
        <v>0</v>
      </c>
      <c r="P91" s="85"/>
      <c r="Q91" s="79"/>
      <c r="R91" s="79" t="s">
        <v>157</v>
      </c>
      <c r="S91" s="79" t="s">
        <v>98</v>
      </c>
      <c r="T91" s="79" t="s">
        <v>89</v>
      </c>
      <c r="U91" s="79"/>
      <c r="V91" s="79"/>
      <c r="W91" s="79">
        <v>1</v>
      </c>
    </row>
    <row r="92" spans="1:23">
      <c r="A92" s="2" t="s">
        <v>224</v>
      </c>
      <c r="B92" s="80"/>
      <c r="C92" s="81"/>
      <c r="D92" s="80"/>
      <c r="E92" s="81"/>
      <c r="F92" s="84"/>
      <c r="G92" s="85"/>
      <c r="H92" s="84"/>
      <c r="I92" s="85"/>
      <c r="J92" s="84"/>
      <c r="K92" s="84"/>
      <c r="L92" s="84"/>
      <c r="M92" s="84"/>
      <c r="N92" s="84">
        <v>1</v>
      </c>
      <c r="O92" s="84"/>
      <c r="P92" s="85"/>
      <c r="Q92" s="79"/>
      <c r="R92" s="79" t="s">
        <v>131</v>
      </c>
      <c r="S92" s="79" t="s">
        <v>38</v>
      </c>
      <c r="T92" s="79" t="s">
        <v>89</v>
      </c>
      <c r="U92" s="79"/>
      <c r="V92" s="79"/>
      <c r="W92" s="79"/>
    </row>
    <row r="93" spans="1:23">
      <c r="A93" s="2" t="s">
        <v>225</v>
      </c>
      <c r="B93" s="80">
        <v>1.8079</v>
      </c>
      <c r="C93" s="81">
        <v>417</v>
      </c>
      <c r="D93" s="80">
        <v>2.7118</v>
      </c>
      <c r="E93" s="81">
        <v>233</v>
      </c>
      <c r="F93" s="84"/>
      <c r="G93" s="85"/>
      <c r="H93" s="84"/>
      <c r="I93" s="85"/>
      <c r="J93" s="84"/>
      <c r="K93" s="84"/>
      <c r="L93" s="84"/>
      <c r="M93" s="84"/>
      <c r="N93" s="84">
        <v>1</v>
      </c>
      <c r="O93" s="84">
        <f>IF(套装="连星",20%,0)</f>
        <v>0</v>
      </c>
      <c r="P93" s="85"/>
      <c r="Q93" s="79"/>
      <c r="R93" s="79" t="s">
        <v>157</v>
      </c>
      <c r="S93" s="79" t="s">
        <v>68</v>
      </c>
      <c r="T93" s="79" t="s">
        <v>89</v>
      </c>
      <c r="U93" s="79" t="s">
        <v>226</v>
      </c>
      <c r="V93" s="79" t="s">
        <v>61</v>
      </c>
      <c r="W93" s="79"/>
    </row>
    <row r="94" spans="1:23">
      <c r="A94" s="2" t="s">
        <v>227</v>
      </c>
      <c r="B94" s="80">
        <v>0.5</v>
      </c>
      <c r="C94" s="81"/>
      <c r="D94" s="80">
        <v>0.75</v>
      </c>
      <c r="E94" s="81"/>
      <c r="F94" s="84"/>
      <c r="G94" s="85"/>
      <c r="H94" s="84"/>
      <c r="I94" s="85"/>
      <c r="J94" s="84"/>
      <c r="K94" s="84"/>
      <c r="L94" s="84"/>
      <c r="M94" s="84"/>
      <c r="N94" s="84">
        <v>1</v>
      </c>
      <c r="O94" s="84">
        <v>0.2</v>
      </c>
      <c r="P94" s="85"/>
      <c r="Q94" s="79"/>
      <c r="R94" s="79" t="s">
        <v>131</v>
      </c>
      <c r="S94" s="79" t="s">
        <v>68</v>
      </c>
      <c r="T94" s="79" t="s">
        <v>89</v>
      </c>
      <c r="U94" s="79" t="s">
        <v>226</v>
      </c>
      <c r="V94" s="79"/>
      <c r="W94" s="79"/>
    </row>
    <row r="95" spans="1:23">
      <c r="B95" s="80"/>
      <c r="C95" s="81"/>
      <c r="D95" s="80"/>
      <c r="E95" s="81"/>
      <c r="N95" s="80">
        <v>1</v>
      </c>
    </row>
    <row r="96" spans="1:23">
      <c r="A96" s="6" t="s">
        <v>228</v>
      </c>
      <c r="B96" s="80">
        <v>1.8943</v>
      </c>
      <c r="C96" s="81">
        <v>438</v>
      </c>
      <c r="D96" s="80">
        <v>2.8414</v>
      </c>
      <c r="E96" s="81">
        <v>245</v>
      </c>
      <c r="K96" s="8">
        <v>0.21</v>
      </c>
      <c r="N96" s="80">
        <v>1</v>
      </c>
      <c r="O96" s="80"/>
      <c r="P96" s="81">
        <v>12</v>
      </c>
      <c r="Q96" s="89"/>
      <c r="R96" s="89" t="s">
        <v>157</v>
      </c>
      <c r="S96" s="89" t="s">
        <v>79</v>
      </c>
      <c r="T96" s="89" t="s">
        <v>71</v>
      </c>
      <c r="V96" s="89"/>
    </row>
    <row r="97" spans="1:22">
      <c r="A97" s="6" t="s">
        <v>229</v>
      </c>
      <c r="B97" s="80">
        <v>3.5251</v>
      </c>
      <c r="C97" s="81">
        <v>815</v>
      </c>
      <c r="D97" s="80">
        <v>5.2876</v>
      </c>
      <c r="E97" s="81">
        <v>456</v>
      </c>
      <c r="K97" s="8">
        <v>0.21</v>
      </c>
      <c r="N97" s="80">
        <v>1</v>
      </c>
      <c r="O97" s="80"/>
      <c r="P97" s="81">
        <v>12</v>
      </c>
      <c r="Q97" s="89"/>
      <c r="R97" s="89" t="s">
        <v>157</v>
      </c>
      <c r="S97" s="89" t="s">
        <v>79</v>
      </c>
      <c r="T97" s="89" t="s">
        <v>71</v>
      </c>
      <c r="V97" s="89"/>
    </row>
    <row r="98" spans="1:22">
      <c r="A98" s="6" t="s">
        <v>230</v>
      </c>
      <c r="B98" s="80">
        <v>0.8826</v>
      </c>
      <c r="C98" s="81">
        <v>204</v>
      </c>
      <c r="D98" s="80">
        <v>1.3239</v>
      </c>
      <c r="E98" s="81">
        <v>114</v>
      </c>
      <c r="K98" s="8">
        <v>0.21</v>
      </c>
      <c r="N98" s="80">
        <v>1</v>
      </c>
      <c r="O98" s="80"/>
      <c r="P98" s="81">
        <v>12</v>
      </c>
      <c r="Q98" s="89">
        <v>1</v>
      </c>
      <c r="R98" s="89" t="s">
        <v>157</v>
      </c>
      <c r="S98" s="89" t="s">
        <v>79</v>
      </c>
      <c r="T98" s="89" t="s">
        <v>71</v>
      </c>
      <c r="V98" s="89" t="s">
        <v>82</v>
      </c>
    </row>
    <row r="99" spans="1:22">
      <c r="A99" s="6" t="s">
        <v>231</v>
      </c>
      <c r="B99" s="80">
        <v>2.0593</v>
      </c>
      <c r="C99" s="81">
        <v>475</v>
      </c>
      <c r="D99" s="80">
        <v>3.089</v>
      </c>
      <c r="E99" s="81">
        <v>266</v>
      </c>
      <c r="K99" s="8">
        <v>0.21</v>
      </c>
      <c r="N99" s="80">
        <v>1</v>
      </c>
      <c r="O99" s="80"/>
      <c r="P99" s="81">
        <v>12</v>
      </c>
      <c r="Q99" s="89">
        <v>1</v>
      </c>
      <c r="R99" s="89" t="s">
        <v>157</v>
      </c>
      <c r="S99" s="89" t="s">
        <v>79</v>
      </c>
      <c r="T99" s="89" t="s">
        <v>71</v>
      </c>
      <c r="V99" s="89" t="s">
        <v>82</v>
      </c>
    </row>
    <row r="100" spans="1:22">
      <c r="A100" s="6" t="s">
        <v>232</v>
      </c>
      <c r="B100" s="80">
        <v>1.8623</v>
      </c>
      <c r="C100" s="81">
        <v>430</v>
      </c>
      <c r="D100" s="80">
        <v>2.7934</v>
      </c>
      <c r="E100" s="81">
        <v>240</v>
      </c>
      <c r="K100" s="8">
        <v>0.21</v>
      </c>
      <c r="N100" s="80">
        <v>1</v>
      </c>
      <c r="O100" s="80">
        <v>0.36</v>
      </c>
      <c r="P100" s="81">
        <v>12</v>
      </c>
      <c r="Q100" s="89">
        <v>1</v>
      </c>
      <c r="R100" s="89" t="s">
        <v>157</v>
      </c>
      <c r="S100" s="89" t="s">
        <v>79</v>
      </c>
      <c r="T100" s="89" t="s">
        <v>71</v>
      </c>
      <c r="V100" s="89" t="s">
        <v>82</v>
      </c>
    </row>
    <row r="101" spans="1:22">
      <c r="A101" s="6" t="s">
        <v>233</v>
      </c>
      <c r="B101" s="80">
        <v>4.345</v>
      </c>
      <c r="C101" s="81">
        <v>1002</v>
      </c>
      <c r="D101" s="80">
        <v>6.5178</v>
      </c>
      <c r="E101" s="81">
        <v>561</v>
      </c>
      <c r="K101" s="8">
        <v>0.21</v>
      </c>
      <c r="N101" s="80">
        <v>1</v>
      </c>
      <c r="O101" s="80">
        <v>0.36</v>
      </c>
      <c r="P101" s="81">
        <v>12</v>
      </c>
      <c r="Q101" s="89">
        <v>1</v>
      </c>
      <c r="R101" s="89" t="s">
        <v>157</v>
      </c>
      <c r="S101" s="89" t="s">
        <v>79</v>
      </c>
      <c r="T101" s="89" t="s">
        <v>71</v>
      </c>
      <c r="V101" s="89" t="s">
        <v>82</v>
      </c>
    </row>
    <row r="102" spans="1:22">
      <c r="A102" s="6" t="s">
        <v>234</v>
      </c>
      <c r="B102" s="80">
        <v>2.3388</v>
      </c>
      <c r="C102" s="81">
        <v>540</v>
      </c>
      <c r="D102" s="80">
        <v>3.5082</v>
      </c>
      <c r="E102" s="81">
        <v>302</v>
      </c>
      <c r="K102" s="8">
        <v>0.21</v>
      </c>
      <c r="N102" s="80">
        <v>1</v>
      </c>
      <c r="O102" s="80">
        <v>0.36</v>
      </c>
      <c r="P102" s="81">
        <v>12</v>
      </c>
      <c r="Q102" s="89">
        <v>1</v>
      </c>
      <c r="R102" s="89" t="s">
        <v>157</v>
      </c>
      <c r="S102" s="89" t="s">
        <v>79</v>
      </c>
      <c r="T102" s="89" t="s">
        <v>71</v>
      </c>
      <c r="V102" s="89" t="s">
        <v>82</v>
      </c>
    </row>
    <row r="103" spans="1:22">
      <c r="A103" s="6" t="s">
        <v>235</v>
      </c>
      <c r="B103" s="80">
        <v>5.4573</v>
      </c>
      <c r="C103" s="81">
        <v>1260</v>
      </c>
      <c r="D103" s="80">
        <v>8.1859</v>
      </c>
      <c r="E103" s="81">
        <v>705</v>
      </c>
      <c r="K103" s="8">
        <v>0.21</v>
      </c>
      <c r="N103" s="80">
        <v>1</v>
      </c>
      <c r="O103" s="80">
        <v>0.36</v>
      </c>
      <c r="P103" s="81">
        <v>12</v>
      </c>
      <c r="Q103" s="89">
        <v>1</v>
      </c>
      <c r="R103" s="89" t="s">
        <v>157</v>
      </c>
      <c r="S103" s="89" t="s">
        <v>79</v>
      </c>
      <c r="T103" s="89" t="s">
        <v>71</v>
      </c>
      <c r="V103" s="89" t="s">
        <v>82</v>
      </c>
    </row>
    <row r="104" spans="1:22">
      <c r="A104" s="6" t="s">
        <v>236</v>
      </c>
      <c r="B104" s="80">
        <v>1.2333</v>
      </c>
      <c r="C104" s="81">
        <v>286</v>
      </c>
      <c r="D104" s="80">
        <v>1.85</v>
      </c>
      <c r="E104" s="81">
        <v>160</v>
      </c>
      <c r="K104" s="8">
        <v>0.21</v>
      </c>
      <c r="N104" s="80">
        <v>1</v>
      </c>
      <c r="O104" s="80"/>
      <c r="P104" s="81">
        <v>12</v>
      </c>
      <c r="Q104" s="89"/>
      <c r="R104" s="89" t="s">
        <v>157</v>
      </c>
      <c r="S104" s="89" t="s">
        <v>87</v>
      </c>
      <c r="T104" s="89" t="s">
        <v>71</v>
      </c>
      <c r="V104" s="89"/>
    </row>
    <row r="105" spans="1:22">
      <c r="A105" s="6" t="s">
        <v>237</v>
      </c>
      <c r="B105" s="80">
        <v>1.4904</v>
      </c>
      <c r="C105" s="81">
        <v>345</v>
      </c>
      <c r="D105" s="80">
        <v>2.2356</v>
      </c>
      <c r="E105" s="81">
        <v>193</v>
      </c>
      <c r="K105" s="8">
        <v>0.21</v>
      </c>
      <c r="N105" s="80">
        <v>1</v>
      </c>
      <c r="O105" s="80"/>
      <c r="P105" s="81">
        <v>12</v>
      </c>
      <c r="Q105" s="89"/>
      <c r="R105" s="89" t="s">
        <v>157</v>
      </c>
      <c r="S105" s="89" t="s">
        <v>87</v>
      </c>
      <c r="T105" s="89" t="s">
        <v>71</v>
      </c>
      <c r="V105" s="89"/>
    </row>
    <row r="106" spans="1:22">
      <c r="A106" s="6" t="s">
        <v>238</v>
      </c>
      <c r="B106" s="80">
        <v>2.1319</v>
      </c>
      <c r="C106" s="81">
        <v>493</v>
      </c>
      <c r="D106" s="80">
        <v>3.1978</v>
      </c>
      <c r="E106" s="81">
        <v>276</v>
      </c>
      <c r="K106" s="8">
        <v>0.21</v>
      </c>
      <c r="N106" s="80">
        <v>1</v>
      </c>
      <c r="O106" s="80"/>
      <c r="P106" s="81">
        <v>12</v>
      </c>
      <c r="Q106" s="89"/>
      <c r="R106" s="89" t="s">
        <v>157</v>
      </c>
      <c r="S106" s="89" t="s">
        <v>87</v>
      </c>
      <c r="T106" s="89" t="s">
        <v>71</v>
      </c>
      <c r="V106" s="89"/>
    </row>
    <row r="107" spans="1:22">
      <c r="A107" s="6" t="s">
        <v>239</v>
      </c>
      <c r="B107" s="80">
        <v>0.3779</v>
      </c>
      <c r="C107" s="81">
        <v>87</v>
      </c>
      <c r="D107" s="80">
        <v>0.5669</v>
      </c>
      <c r="E107" s="81">
        <v>48</v>
      </c>
      <c r="K107" s="8">
        <v>0.21</v>
      </c>
      <c r="N107" s="80">
        <v>1</v>
      </c>
      <c r="O107" s="80"/>
      <c r="P107" s="81">
        <v>12</v>
      </c>
      <c r="Q107" s="89"/>
      <c r="R107" s="89" t="s">
        <v>157</v>
      </c>
      <c r="S107" s="89" t="s">
        <v>87</v>
      </c>
      <c r="T107" s="89" t="s">
        <v>71</v>
      </c>
      <c r="V107" s="89"/>
    </row>
    <row r="108" spans="1:22">
      <c r="A108" s="6" t="s">
        <v>240</v>
      </c>
      <c r="B108" s="80">
        <v>1.5117</v>
      </c>
      <c r="C108" s="81">
        <v>349</v>
      </c>
      <c r="D108" s="80">
        <v>2.2675</v>
      </c>
      <c r="E108" s="81">
        <v>195</v>
      </c>
      <c r="K108" s="8">
        <v>0.21</v>
      </c>
      <c r="N108" s="80">
        <v>1</v>
      </c>
      <c r="O108" s="80"/>
      <c r="P108" s="81">
        <v>12</v>
      </c>
      <c r="Q108" s="89"/>
      <c r="R108" s="89" t="s">
        <v>157</v>
      </c>
      <c r="S108" s="89" t="s">
        <v>87</v>
      </c>
      <c r="T108" s="89" t="s">
        <v>71</v>
      </c>
      <c r="V108" s="89"/>
    </row>
    <row r="109" spans="1:22">
      <c r="A109" s="6" t="s">
        <v>241</v>
      </c>
      <c r="B109" s="80">
        <v>1.8896</v>
      </c>
      <c r="C109" s="81">
        <v>436</v>
      </c>
      <c r="D109" s="80">
        <v>2.8344</v>
      </c>
      <c r="E109" s="81">
        <v>244</v>
      </c>
      <c r="K109" s="8">
        <v>0.21</v>
      </c>
      <c r="N109" s="80">
        <v>1</v>
      </c>
      <c r="O109" s="80"/>
      <c r="P109" s="81">
        <v>12</v>
      </c>
      <c r="Q109" s="89"/>
      <c r="R109" s="89" t="s">
        <v>157</v>
      </c>
      <c r="S109" s="89" t="s">
        <v>87</v>
      </c>
      <c r="T109" s="89" t="s">
        <v>71</v>
      </c>
      <c r="V109" s="89"/>
    </row>
    <row r="110" spans="1:22">
      <c r="A110" s="6" t="s">
        <v>242</v>
      </c>
      <c r="B110" s="80">
        <v>2.449</v>
      </c>
      <c r="C110" s="81">
        <v>565</v>
      </c>
      <c r="D110" s="80">
        <v>3.6736</v>
      </c>
      <c r="E110" s="81">
        <v>316</v>
      </c>
      <c r="K110" s="8">
        <v>0.21</v>
      </c>
      <c r="N110" s="80">
        <v>1</v>
      </c>
      <c r="O110" s="80"/>
      <c r="P110" s="81">
        <v>12</v>
      </c>
      <c r="Q110" s="89">
        <v>1</v>
      </c>
      <c r="R110" s="89" t="s">
        <v>157</v>
      </c>
      <c r="S110" s="89" t="s">
        <v>87</v>
      </c>
      <c r="T110" s="89" t="s">
        <v>71</v>
      </c>
      <c r="V110" s="89" t="s">
        <v>81</v>
      </c>
    </row>
    <row r="111" spans="1:22">
      <c r="A111" s="6" t="s">
        <v>243</v>
      </c>
      <c r="B111" s="80">
        <v>0.3823</v>
      </c>
      <c r="C111" s="81">
        <v>89</v>
      </c>
      <c r="D111" s="80">
        <v>0.5734</v>
      </c>
      <c r="E111" s="81">
        <v>50</v>
      </c>
      <c r="K111" s="8">
        <v>0.21</v>
      </c>
      <c r="N111" s="80">
        <v>1</v>
      </c>
      <c r="O111" s="80">
        <v>0</v>
      </c>
      <c r="P111" s="81">
        <v>12</v>
      </c>
      <c r="Q111" s="89"/>
      <c r="R111" s="89" t="s">
        <v>157</v>
      </c>
      <c r="S111" s="89" t="s">
        <v>87</v>
      </c>
      <c r="T111" s="89" t="s">
        <v>71</v>
      </c>
      <c r="V111" s="89" t="s">
        <v>81</v>
      </c>
    </row>
    <row r="112" spans="1:22">
      <c r="A112" s="6" t="s">
        <v>244</v>
      </c>
      <c r="B112" s="80">
        <v>2.0764</v>
      </c>
      <c r="C112" s="81">
        <v>480</v>
      </c>
      <c r="D112" s="80">
        <v>3.1145</v>
      </c>
      <c r="E112" s="81">
        <v>268</v>
      </c>
      <c r="K112" s="8">
        <v>0.21</v>
      </c>
      <c r="N112" s="80">
        <v>1.2</v>
      </c>
      <c r="O112" s="80">
        <v>0.1</v>
      </c>
      <c r="P112" s="81">
        <v>12</v>
      </c>
      <c r="R112" s="89" t="s">
        <v>157</v>
      </c>
      <c r="S112" s="89" t="s">
        <v>87</v>
      </c>
      <c r="T112" s="89" t="s">
        <v>71</v>
      </c>
      <c r="V112" s="89" t="s">
        <v>81</v>
      </c>
    </row>
    <row r="113" spans="1:22">
      <c r="A113" s="6" t="s">
        <v>245</v>
      </c>
      <c r="B113" s="80">
        <v>3.5298</v>
      </c>
      <c r="C113" s="81">
        <v>816</v>
      </c>
      <c r="D113" s="80">
        <v>5.2947</v>
      </c>
      <c r="E113" s="81">
        <v>455</v>
      </c>
      <c r="K113" s="8">
        <v>0.21</v>
      </c>
      <c r="N113" s="80">
        <v>1</v>
      </c>
      <c r="O113" s="80">
        <v>0.1</v>
      </c>
      <c r="P113" s="81">
        <v>12</v>
      </c>
      <c r="R113" s="89" t="s">
        <v>157</v>
      </c>
      <c r="S113" s="89" t="s">
        <v>87</v>
      </c>
      <c r="T113" s="89" t="s">
        <v>71</v>
      </c>
      <c r="V113" s="89" t="s">
        <v>81</v>
      </c>
    </row>
    <row r="114" spans="1:22">
      <c r="A114" s="6" t="s">
        <v>246</v>
      </c>
      <c r="B114" s="80">
        <v>1.4</v>
      </c>
      <c r="C114" s="81"/>
      <c r="D114" s="80">
        <v>2.1</v>
      </c>
      <c r="E114" s="81"/>
      <c r="K114" s="8">
        <v>0.21</v>
      </c>
      <c r="N114" s="80">
        <v>1</v>
      </c>
      <c r="O114" s="80">
        <v>0</v>
      </c>
      <c r="P114" s="81">
        <v>12</v>
      </c>
      <c r="R114" s="89" t="s">
        <v>131</v>
      </c>
      <c r="S114" s="89" t="s">
        <v>87</v>
      </c>
      <c r="T114" s="89" t="s">
        <v>71</v>
      </c>
      <c r="V114" s="89" t="s">
        <v>81</v>
      </c>
    </row>
    <row r="115" spans="1:22">
      <c r="A115" s="6" t="s">
        <v>247</v>
      </c>
      <c r="B115" s="80">
        <v>0.5</v>
      </c>
      <c r="C115" s="81"/>
      <c r="D115" s="80">
        <v>0.75</v>
      </c>
      <c r="E115" s="81"/>
      <c r="K115" s="8">
        <v>0.21</v>
      </c>
      <c r="N115" s="80">
        <v>1</v>
      </c>
      <c r="O115" s="80">
        <v>0</v>
      </c>
      <c r="P115" s="81">
        <v>12</v>
      </c>
      <c r="R115" s="89" t="s">
        <v>131</v>
      </c>
      <c r="S115" s="89" t="s">
        <v>79</v>
      </c>
      <c r="T115" s="89" t="s">
        <v>71</v>
      </c>
      <c r="V115" s="89" t="s">
        <v>82</v>
      </c>
    </row>
    <row r="116" spans="1:22">
      <c r="A116" s="6" t="s">
        <v>248</v>
      </c>
      <c r="B116" s="80">
        <v>0.9</v>
      </c>
      <c r="C116" s="81"/>
      <c r="D116" s="80">
        <v>1.35</v>
      </c>
      <c r="E116" s="81"/>
      <c r="K116" s="8">
        <v>0.21</v>
      </c>
      <c r="N116" s="80">
        <v>1</v>
      </c>
      <c r="O116" s="80">
        <v>0</v>
      </c>
      <c r="P116" s="81">
        <v>12</v>
      </c>
      <c r="R116" s="89" t="s">
        <v>131</v>
      </c>
      <c r="S116" s="89" t="s">
        <v>79</v>
      </c>
      <c r="T116" s="89" t="s">
        <v>71</v>
      </c>
      <c r="V116" s="89" t="s">
        <v>82</v>
      </c>
    </row>
    <row r="117" spans="1:22">
      <c r="A117" s="6" t="s">
        <v>249</v>
      </c>
      <c r="B117" s="80">
        <v>0.5</v>
      </c>
      <c r="C117" s="81"/>
      <c r="D117" s="80">
        <v>0.75</v>
      </c>
      <c r="E117" s="81"/>
      <c r="K117" s="8">
        <v>0.21</v>
      </c>
      <c r="N117" s="80">
        <v>1</v>
      </c>
      <c r="O117" s="80">
        <v>0</v>
      </c>
      <c r="P117" s="81">
        <v>12</v>
      </c>
      <c r="R117" s="89" t="s">
        <v>131</v>
      </c>
      <c r="S117" s="89" t="s">
        <v>79</v>
      </c>
      <c r="T117" s="89" t="s">
        <v>71</v>
      </c>
      <c r="V117" s="89"/>
    </row>
    <row r="118" spans="1:22">
      <c r="A118" s="6" t="s">
        <v>250</v>
      </c>
      <c r="B118" s="80">
        <v>0.6481</v>
      </c>
      <c r="C118" s="81">
        <v>151</v>
      </c>
      <c r="D118" s="80">
        <v>0.9722</v>
      </c>
      <c r="E118" s="81">
        <v>84</v>
      </c>
      <c r="K118" s="8">
        <v>0.21</v>
      </c>
      <c r="N118" s="80">
        <v>1</v>
      </c>
      <c r="P118" s="81">
        <v>12</v>
      </c>
      <c r="R118" s="89" t="s">
        <v>157</v>
      </c>
      <c r="S118" s="89" t="s">
        <v>87</v>
      </c>
      <c r="T118" s="89" t="s">
        <v>71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8"/>
  <sheetViews>
    <sheetView workbookViewId="0">
      <selection activeCell="J14" sqref="J14"/>
    </sheetView>
  </sheetViews>
  <sheetFormatPr defaultColWidth="8.88888888888889" defaultRowHeight="14.4" outlineLevelRow="7"/>
  <cols>
    <col min="17" max="17" width="9.66666666666667"/>
  </cols>
  <sheetData>
    <row r="1" spans="1:36">
      <c r="A1" t="s">
        <v>12</v>
      </c>
      <c r="B1" t="s">
        <v>251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  <c r="M1" t="s">
        <v>262</v>
      </c>
      <c r="N1" t="s">
        <v>263</v>
      </c>
      <c r="O1" t="s">
        <v>264</v>
      </c>
      <c r="P1" t="s">
        <v>265</v>
      </c>
      <c r="Q1" t="s">
        <v>266</v>
      </c>
      <c r="R1" t="s">
        <v>267</v>
      </c>
      <c r="S1" t="s">
        <v>268</v>
      </c>
      <c r="T1" t="s">
        <v>269</v>
      </c>
      <c r="U1" t="s">
        <v>270</v>
      </c>
      <c r="V1" t="s">
        <v>271</v>
      </c>
      <c r="W1" t="s">
        <v>272</v>
      </c>
      <c r="X1" t="s">
        <v>273</v>
      </c>
      <c r="Y1" t="s">
        <v>274</v>
      </c>
      <c r="Z1" t="s">
        <v>275</v>
      </c>
      <c r="AA1" t="s">
        <v>276</v>
      </c>
      <c r="AB1" t="s">
        <v>277</v>
      </c>
      <c r="AC1" t="s">
        <v>278</v>
      </c>
      <c r="AD1" t="s">
        <v>279</v>
      </c>
      <c r="AE1" t="s">
        <v>280</v>
      </c>
      <c r="AF1" t="s">
        <v>281</v>
      </c>
      <c r="AG1" t="s">
        <v>282</v>
      </c>
      <c r="AH1" t="s">
        <v>15</v>
      </c>
      <c r="AI1" t="s">
        <v>16</v>
      </c>
      <c r="AJ1" t="s">
        <v>17</v>
      </c>
    </row>
    <row r="2" spans="1:36">
      <c r="A2" t="s">
        <v>35</v>
      </c>
      <c r="B2">
        <v>896.9</v>
      </c>
      <c r="C2">
        <v>2949.8</v>
      </c>
      <c r="D2">
        <v>36</v>
      </c>
      <c r="E2">
        <v>274</v>
      </c>
      <c r="F2">
        <v>549</v>
      </c>
      <c r="G2">
        <v>18</v>
      </c>
      <c r="Q2" s="75">
        <v>98.3</v>
      </c>
      <c r="R2" s="75">
        <v>45.7</v>
      </c>
      <c r="S2" s="75">
        <v>39.6</v>
      </c>
      <c r="T2" s="75">
        <v>8.7</v>
      </c>
      <c r="U2" s="75">
        <v>2.3</v>
      </c>
      <c r="V2" s="75"/>
      <c r="W2" s="75">
        <v>50</v>
      </c>
      <c r="X2" s="75">
        <v>40.2</v>
      </c>
      <c r="Y2" s="75">
        <v>9</v>
      </c>
      <c r="Z2" s="75"/>
      <c r="AA2" s="75">
        <v>5.2</v>
      </c>
      <c r="AB2" s="75"/>
      <c r="AC2" s="75"/>
      <c r="AD2" s="75"/>
      <c r="AE2" s="75"/>
      <c r="AF2" s="75">
        <v>5.2</v>
      </c>
      <c r="AG2" s="75"/>
      <c r="AH2" s="75">
        <v>20</v>
      </c>
    </row>
    <row r="3" spans="1:36">
      <c r="A3" t="s">
        <v>50</v>
      </c>
      <c r="B3">
        <v>906</v>
      </c>
      <c r="C3">
        <v>3004.7</v>
      </c>
      <c r="D3">
        <v>36</v>
      </c>
      <c r="E3">
        <v>274</v>
      </c>
      <c r="F3">
        <v>549</v>
      </c>
      <c r="G3">
        <v>18</v>
      </c>
      <c r="Q3" s="75">
        <v>98.3</v>
      </c>
      <c r="R3" s="75">
        <v>50.8</v>
      </c>
      <c r="S3" s="75">
        <v>39.6</v>
      </c>
      <c r="T3" s="75">
        <v>8.7</v>
      </c>
      <c r="U3" s="75">
        <v>2.3</v>
      </c>
      <c r="V3" s="75"/>
      <c r="W3" s="75">
        <v>50</v>
      </c>
      <c r="X3" s="75">
        <v>40.2</v>
      </c>
      <c r="Y3" s="75">
        <v>9</v>
      </c>
      <c r="Z3" s="75"/>
      <c r="AA3" s="75"/>
      <c r="AB3" s="75"/>
      <c r="AC3" s="75"/>
      <c r="AD3" s="75"/>
      <c r="AE3" s="75"/>
      <c r="AF3" s="75">
        <v>5.2</v>
      </c>
      <c r="AG3" s="75"/>
      <c r="AH3" s="75">
        <v>20</v>
      </c>
    </row>
    <row r="4" spans="1:36">
      <c r="A4" t="s">
        <v>58</v>
      </c>
      <c r="B4">
        <v>1989.7</v>
      </c>
      <c r="C4">
        <v>1566.8</v>
      </c>
      <c r="D4">
        <v>41.1</v>
      </c>
      <c r="E4">
        <v>72.4</v>
      </c>
      <c r="H4">
        <v>72.4</v>
      </c>
      <c r="K4">
        <v>274</v>
      </c>
      <c r="L4">
        <v>549</v>
      </c>
      <c r="M4">
        <v>18</v>
      </c>
      <c r="N4">
        <v>72.4</v>
      </c>
      <c r="Q4" s="75">
        <v>100</v>
      </c>
      <c r="R4" s="75">
        <v>77.9</v>
      </c>
      <c r="S4" s="75">
        <v>12.5</v>
      </c>
      <c r="T4" s="75">
        <v>8.7</v>
      </c>
      <c r="U4" s="75"/>
      <c r="V4" s="75"/>
      <c r="W4" s="75">
        <v>54.4</v>
      </c>
      <c r="X4" s="75">
        <v>35</v>
      </c>
      <c r="Y4" s="75">
        <v>9</v>
      </c>
      <c r="Z4" s="75">
        <v>2.6</v>
      </c>
      <c r="AA4" s="75">
        <v>5.2</v>
      </c>
      <c r="AB4" s="75"/>
      <c r="AC4" s="75">
        <v>16</v>
      </c>
      <c r="AD4" s="75"/>
      <c r="AE4" s="75"/>
      <c r="AF4" s="75">
        <v>5.2</v>
      </c>
      <c r="AG4" s="75"/>
      <c r="AH4" s="75">
        <v>20</v>
      </c>
    </row>
    <row r="5" spans="1:36">
      <c r="A5" t="s">
        <v>70</v>
      </c>
      <c r="B5">
        <v>1907.9</v>
      </c>
      <c r="C5">
        <v>1528.5</v>
      </c>
      <c r="D5">
        <v>36</v>
      </c>
      <c r="E5">
        <v>108.6</v>
      </c>
      <c r="H5">
        <v>274</v>
      </c>
      <c r="I5">
        <v>621.4</v>
      </c>
      <c r="J5">
        <v>18</v>
      </c>
      <c r="K5">
        <v>108.6</v>
      </c>
      <c r="N5">
        <v>108.6</v>
      </c>
      <c r="Q5" s="75">
        <v>100</v>
      </c>
      <c r="R5" s="75">
        <v>57.5</v>
      </c>
      <c r="S5" s="75">
        <v>9.9</v>
      </c>
      <c r="T5" s="75">
        <v>8.7</v>
      </c>
      <c r="U5" s="75"/>
      <c r="V5" s="75"/>
      <c r="W5" s="75">
        <v>54.4</v>
      </c>
      <c r="X5" s="75">
        <v>35</v>
      </c>
      <c r="Y5" s="75">
        <v>9</v>
      </c>
      <c r="Z5" s="75">
        <v>5.2</v>
      </c>
      <c r="AA5" s="75">
        <v>5.2</v>
      </c>
      <c r="AB5" s="75"/>
      <c r="AC5" s="75"/>
      <c r="AD5" s="75"/>
      <c r="AE5" s="75"/>
      <c r="AF5" s="75">
        <v>5.2</v>
      </c>
      <c r="AG5" s="75"/>
      <c r="AH5" s="75">
        <v>20</v>
      </c>
    </row>
    <row r="6" spans="1:36">
      <c r="A6" t="s">
        <v>80</v>
      </c>
      <c r="B6">
        <v>2035.7</v>
      </c>
      <c r="C6">
        <v>1528.5</v>
      </c>
      <c r="D6">
        <v>36</v>
      </c>
      <c r="E6">
        <v>72.4</v>
      </c>
      <c r="H6">
        <v>284.9</v>
      </c>
      <c r="I6">
        <v>570.7</v>
      </c>
      <c r="J6">
        <v>24</v>
      </c>
      <c r="K6">
        <v>72.4</v>
      </c>
      <c r="N6">
        <v>72.4</v>
      </c>
      <c r="Q6" s="75">
        <v>100</v>
      </c>
      <c r="R6" s="75">
        <v>76.5</v>
      </c>
      <c r="S6" s="75">
        <v>10</v>
      </c>
      <c r="T6" s="75">
        <v>9.2</v>
      </c>
      <c r="U6" s="75"/>
      <c r="V6" s="75"/>
      <c r="W6" s="75">
        <v>54</v>
      </c>
      <c r="X6" s="75">
        <v>35</v>
      </c>
      <c r="Y6" s="75">
        <v>9</v>
      </c>
      <c r="Z6" s="75">
        <v>5.2</v>
      </c>
      <c r="AA6" s="75">
        <v>5.2</v>
      </c>
      <c r="AB6" s="75"/>
      <c r="AC6" s="75"/>
      <c r="AD6" s="75"/>
      <c r="AE6" s="75"/>
      <c r="AF6" s="75"/>
      <c r="AG6" s="75">
        <v>5.2</v>
      </c>
      <c r="AH6" s="75"/>
      <c r="AI6">
        <v>20</v>
      </c>
    </row>
    <row r="7" spans="1:36">
      <c r="A7" t="s">
        <v>88</v>
      </c>
      <c r="B7">
        <v>1949.3</v>
      </c>
      <c r="C7">
        <v>1538.1</v>
      </c>
      <c r="D7">
        <v>36</v>
      </c>
      <c r="E7">
        <v>72.4</v>
      </c>
      <c r="H7">
        <v>72.4</v>
      </c>
      <c r="K7">
        <v>72.4</v>
      </c>
      <c r="N7">
        <v>306.6</v>
      </c>
      <c r="O7">
        <v>549</v>
      </c>
      <c r="P7">
        <v>24</v>
      </c>
      <c r="Q7" s="75">
        <v>100</v>
      </c>
      <c r="R7" s="75">
        <v>72.8</v>
      </c>
      <c r="S7" s="75">
        <v>12.5</v>
      </c>
      <c r="T7" s="75">
        <v>4.1</v>
      </c>
      <c r="U7" s="75"/>
      <c r="V7" s="75"/>
      <c r="W7" s="75">
        <v>57.9</v>
      </c>
      <c r="X7" s="75">
        <v>35</v>
      </c>
      <c r="Y7" s="75">
        <v>9</v>
      </c>
      <c r="Z7" s="75">
        <v>5.2</v>
      </c>
      <c r="AA7" s="75">
        <v>5.2</v>
      </c>
      <c r="AB7" s="75"/>
      <c r="AC7" s="75"/>
      <c r="AD7" s="75"/>
      <c r="AE7" s="75"/>
      <c r="AF7" s="75">
        <v>5.2</v>
      </c>
      <c r="AG7" s="75">
        <v>5.2</v>
      </c>
      <c r="AH7" s="75">
        <v>20</v>
      </c>
    </row>
    <row r="8" spans="1:36">
      <c r="A8" t="s">
        <v>99</v>
      </c>
      <c r="B8">
        <v>2034.6</v>
      </c>
      <c r="C8">
        <v>1533.8</v>
      </c>
      <c r="D8">
        <v>36</v>
      </c>
      <c r="E8">
        <v>72.4</v>
      </c>
      <c r="H8">
        <v>72.4</v>
      </c>
      <c r="K8">
        <v>72.4</v>
      </c>
      <c r="N8">
        <v>306.6</v>
      </c>
      <c r="O8">
        <v>549</v>
      </c>
      <c r="P8">
        <v>24</v>
      </c>
      <c r="Q8" s="75">
        <v>100</v>
      </c>
      <c r="R8" s="75">
        <v>77.9</v>
      </c>
      <c r="S8" s="75">
        <v>10.1</v>
      </c>
      <c r="T8" s="75">
        <v>8.7</v>
      </c>
      <c r="U8" s="75"/>
      <c r="V8" s="75">
        <v>2.8</v>
      </c>
      <c r="W8" s="75">
        <v>50</v>
      </c>
      <c r="X8" s="75">
        <v>35</v>
      </c>
      <c r="Y8" s="75">
        <v>9</v>
      </c>
      <c r="Z8" s="75">
        <v>5.2</v>
      </c>
      <c r="AA8" s="75">
        <v>5.2</v>
      </c>
      <c r="AB8" s="75"/>
      <c r="AC8" s="75"/>
      <c r="AD8" s="75"/>
      <c r="AE8" s="75"/>
      <c r="AF8" s="75">
        <v>5.2</v>
      </c>
      <c r="AG8" s="75"/>
      <c r="AH8" s="75">
        <v>20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4"/>
  <sheetViews>
    <sheetView tabSelected="1" workbookViewId="0">
      <selection activeCell="B1" sqref="B$1:B$1048576"/>
    </sheetView>
  </sheetViews>
  <sheetFormatPr defaultColWidth="8.88888888888889" defaultRowHeight="14.4"/>
  <cols>
    <col min="1" max="1" width="12" customWidth="1"/>
    <col min="2" max="2" width="30.3148148148148" customWidth="1"/>
    <col min="16" max="16" width="12.8888888888889"/>
  </cols>
  <sheetData>
    <row r="1" spans="1:16">
      <c r="A1" t="s">
        <v>283</v>
      </c>
      <c r="B1" t="s">
        <v>105</v>
      </c>
      <c r="C1" t="s">
        <v>284</v>
      </c>
      <c r="D1" t="s">
        <v>285</v>
      </c>
      <c r="E1" t="s">
        <v>286</v>
      </c>
      <c r="F1" t="s">
        <v>287</v>
      </c>
      <c r="G1" s="11" t="s">
        <v>288</v>
      </c>
      <c r="H1" s="11" t="s">
        <v>289</v>
      </c>
      <c r="I1" s="11" t="s">
        <v>290</v>
      </c>
      <c r="J1" s="11" t="s">
        <v>291</v>
      </c>
      <c r="K1" s="11" t="s">
        <v>292</v>
      </c>
      <c r="L1" s="11" t="s">
        <v>293</v>
      </c>
      <c r="M1" s="11" t="s">
        <v>294</v>
      </c>
      <c r="N1" s="11" t="s">
        <v>295</v>
      </c>
      <c r="O1" t="s">
        <v>296</v>
      </c>
      <c r="P1" t="s">
        <v>297</v>
      </c>
    </row>
    <row r="2" spans="1:16">
      <c r="A2" s="12" t="s">
        <v>65</v>
      </c>
      <c r="B2" s="13" t="s">
        <v>166</v>
      </c>
      <c r="C2" s="13">
        <v>2</v>
      </c>
      <c r="E2">
        <v>1</v>
      </c>
      <c r="H2" t="s">
        <v>298</v>
      </c>
      <c r="I2" t="s">
        <v>299</v>
      </c>
      <c r="J2" t="s">
        <v>38</v>
      </c>
      <c r="K2" t="s">
        <v>38</v>
      </c>
      <c r="L2" t="s">
        <v>38</v>
      </c>
      <c r="M2" t="s">
        <v>300</v>
      </c>
      <c r="O2">
        <v>33</v>
      </c>
      <c r="P2" s="14">
        <v>44725.85</v>
      </c>
    </row>
    <row r="3" spans="1:16">
      <c r="B3" s="13" t="s">
        <v>174</v>
      </c>
      <c r="C3" s="13">
        <v>1</v>
      </c>
      <c r="E3">
        <v>1</v>
      </c>
      <c r="F3" s="15">
        <v>5</v>
      </c>
      <c r="H3" t="s">
        <v>301</v>
      </c>
      <c r="I3" t="s">
        <v>38</v>
      </c>
      <c r="J3" t="s">
        <v>38</v>
      </c>
      <c r="K3" t="s">
        <v>38</v>
      </c>
      <c r="L3" t="s">
        <v>38</v>
      </c>
      <c r="M3" t="s">
        <v>300</v>
      </c>
      <c r="P3" s="14"/>
    </row>
    <row r="4" spans="1:16">
      <c r="A4" s="11"/>
      <c r="B4" s="13" t="s">
        <v>168</v>
      </c>
      <c r="C4" s="13">
        <v>1</v>
      </c>
      <c r="E4">
        <v>2</v>
      </c>
      <c r="F4" s="15">
        <v>5</v>
      </c>
      <c r="H4" t="s">
        <v>302</v>
      </c>
      <c r="I4" t="s">
        <v>38</v>
      </c>
      <c r="J4" t="s">
        <v>38</v>
      </c>
      <c r="K4" t="s">
        <v>38</v>
      </c>
      <c r="L4" t="s">
        <v>38</v>
      </c>
      <c r="M4" t="s">
        <v>300</v>
      </c>
    </row>
    <row r="5" spans="1:16">
      <c r="A5" s="11"/>
      <c r="B5" s="13" t="s">
        <v>140</v>
      </c>
      <c r="C5" s="13">
        <v>1</v>
      </c>
      <c r="E5">
        <v>3</v>
      </c>
      <c r="F5" s="15">
        <v>5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300</v>
      </c>
    </row>
    <row r="6" spans="1:16">
      <c r="B6" s="13" t="s">
        <v>169</v>
      </c>
      <c r="C6" s="13">
        <v>1.5</v>
      </c>
      <c r="E6">
        <v>3</v>
      </c>
      <c r="F6" s="15">
        <v>5</v>
      </c>
      <c r="H6" t="s">
        <v>298</v>
      </c>
      <c r="I6" t="s">
        <v>299</v>
      </c>
      <c r="J6" t="s">
        <v>302</v>
      </c>
      <c r="K6" t="s">
        <v>38</v>
      </c>
      <c r="L6" t="s">
        <v>38</v>
      </c>
      <c r="M6" t="s">
        <v>300</v>
      </c>
    </row>
    <row r="7" spans="1:16">
      <c r="B7" s="13" t="s">
        <v>143</v>
      </c>
      <c r="C7" s="13">
        <v>3</v>
      </c>
      <c r="E7">
        <v>3</v>
      </c>
      <c r="F7" s="15">
        <v>5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300</v>
      </c>
    </row>
    <row r="8" spans="1:16">
      <c r="B8" s="13" t="s">
        <v>170</v>
      </c>
      <c r="C8" s="13">
        <v>1</v>
      </c>
      <c r="E8">
        <v>4</v>
      </c>
      <c r="F8" s="15">
        <v>5</v>
      </c>
      <c r="H8" t="s">
        <v>303</v>
      </c>
      <c r="I8" t="s">
        <v>38</v>
      </c>
      <c r="J8" t="s">
        <v>38</v>
      </c>
      <c r="K8" t="s">
        <v>38</v>
      </c>
      <c r="L8" t="s">
        <v>38</v>
      </c>
      <c r="M8" t="s">
        <v>300</v>
      </c>
    </row>
    <row r="9" spans="1:16">
      <c r="B9" s="13" t="s">
        <v>145</v>
      </c>
      <c r="C9" s="13">
        <v>2</v>
      </c>
      <c r="E9">
        <v>4</v>
      </c>
      <c r="F9" s="15">
        <v>5</v>
      </c>
      <c r="H9" t="s">
        <v>303</v>
      </c>
      <c r="I9" t="s">
        <v>38</v>
      </c>
      <c r="J9" t="s">
        <v>38</v>
      </c>
      <c r="K9" t="s">
        <v>38</v>
      </c>
      <c r="L9" t="s">
        <v>38</v>
      </c>
      <c r="M9" t="s">
        <v>300</v>
      </c>
    </row>
    <row r="10" spans="1:16">
      <c r="B10" s="13" t="s">
        <v>147</v>
      </c>
      <c r="C10" s="13">
        <v>2</v>
      </c>
      <c r="E10">
        <v>4</v>
      </c>
      <c r="H10" t="s">
        <v>303</v>
      </c>
      <c r="I10" t="s">
        <v>38</v>
      </c>
      <c r="J10" t="s">
        <v>38</v>
      </c>
      <c r="K10" t="s">
        <v>38</v>
      </c>
      <c r="L10" t="s">
        <v>38</v>
      </c>
    </row>
    <row r="11" spans="1:16">
      <c r="B11" s="13" t="s">
        <v>169</v>
      </c>
      <c r="C11" s="13">
        <v>2</v>
      </c>
      <c r="E11">
        <v>4</v>
      </c>
      <c r="H11" t="s">
        <v>303</v>
      </c>
      <c r="I11" t="s">
        <v>298</v>
      </c>
      <c r="J11" t="s">
        <v>299</v>
      </c>
      <c r="K11" t="s">
        <v>302</v>
      </c>
      <c r="L11" t="s">
        <v>38</v>
      </c>
    </row>
    <row r="12" spans="1:16">
      <c r="B12" s="13" t="s">
        <v>143</v>
      </c>
      <c r="C12" s="13">
        <v>2</v>
      </c>
      <c r="E12">
        <v>4</v>
      </c>
      <c r="H12" t="s">
        <v>303</v>
      </c>
      <c r="I12" t="s">
        <v>38</v>
      </c>
      <c r="J12" t="s">
        <v>38</v>
      </c>
      <c r="K12" t="s">
        <v>38</v>
      </c>
      <c r="L12" t="s">
        <v>38</v>
      </c>
    </row>
    <row r="13" spans="1:16">
      <c r="B13" s="13" t="s">
        <v>145</v>
      </c>
      <c r="C13" s="13">
        <v>2</v>
      </c>
      <c r="E13">
        <v>5</v>
      </c>
      <c r="H13" t="s">
        <v>303</v>
      </c>
      <c r="I13" t="s">
        <v>38</v>
      </c>
      <c r="J13" t="s">
        <v>38</v>
      </c>
      <c r="K13" t="s">
        <v>38</v>
      </c>
      <c r="L13" t="s">
        <v>38</v>
      </c>
    </row>
    <row r="14" spans="1:16">
      <c r="B14" s="13" t="s">
        <v>147</v>
      </c>
      <c r="C14" s="13">
        <v>3</v>
      </c>
      <c r="E14">
        <v>5</v>
      </c>
      <c r="H14" t="s">
        <v>303</v>
      </c>
      <c r="I14" t="s">
        <v>38</v>
      </c>
      <c r="J14" t="s">
        <v>38</v>
      </c>
      <c r="K14" t="s">
        <v>38</v>
      </c>
      <c r="L14" t="s">
        <v>38</v>
      </c>
    </row>
    <row r="15" spans="1:16">
      <c r="B15" s="13" t="s">
        <v>146</v>
      </c>
      <c r="C15" s="13">
        <v>1</v>
      </c>
      <c r="E15">
        <v>5</v>
      </c>
      <c r="H15" t="s">
        <v>303</v>
      </c>
      <c r="I15" t="s">
        <v>38</v>
      </c>
      <c r="J15" t="s">
        <v>38</v>
      </c>
      <c r="K15" t="s">
        <v>38</v>
      </c>
      <c r="L15" t="s">
        <v>38</v>
      </c>
    </row>
    <row r="16" spans="1:16">
      <c r="B16" s="13" t="s">
        <v>167</v>
      </c>
      <c r="C16" s="13">
        <v>1</v>
      </c>
      <c r="E16">
        <v>5</v>
      </c>
      <c r="H16" t="s">
        <v>303</v>
      </c>
      <c r="I16" t="s">
        <v>38</v>
      </c>
      <c r="J16" t="s">
        <v>38</v>
      </c>
      <c r="K16" t="s">
        <v>38</v>
      </c>
      <c r="L16" t="s">
        <v>38</v>
      </c>
      <c r="M16" t="s">
        <v>300</v>
      </c>
    </row>
    <row r="17" spans="2:13">
      <c r="B17" s="13" t="s">
        <v>133</v>
      </c>
      <c r="C17" s="13">
        <v>1</v>
      </c>
      <c r="E17">
        <v>5</v>
      </c>
      <c r="H17" t="s">
        <v>303</v>
      </c>
      <c r="I17" t="s">
        <v>38</v>
      </c>
      <c r="J17" t="s">
        <v>38</v>
      </c>
      <c r="K17" t="s">
        <v>38</v>
      </c>
      <c r="L17" t="s">
        <v>38</v>
      </c>
      <c r="M17" t="s">
        <v>300</v>
      </c>
    </row>
    <row r="18" spans="2:13">
      <c r="B18" s="13" t="s">
        <v>143</v>
      </c>
      <c r="C18" s="13">
        <v>6</v>
      </c>
      <c r="E18">
        <v>5</v>
      </c>
      <c r="H18" t="s">
        <v>303</v>
      </c>
      <c r="I18" t="s">
        <v>38</v>
      </c>
      <c r="J18" t="s">
        <v>38</v>
      </c>
      <c r="K18" t="s">
        <v>38</v>
      </c>
      <c r="L18" t="s">
        <v>38</v>
      </c>
      <c r="M18" t="s">
        <v>300</v>
      </c>
    </row>
    <row r="19" spans="2:13">
      <c r="B19" s="13" t="s">
        <v>169</v>
      </c>
      <c r="C19" s="13">
        <v>5</v>
      </c>
      <c r="E19">
        <v>5</v>
      </c>
      <c r="H19" t="s">
        <v>298</v>
      </c>
      <c r="I19" t="s">
        <v>299</v>
      </c>
      <c r="J19" t="s">
        <v>303</v>
      </c>
      <c r="K19" t="s">
        <v>302</v>
      </c>
      <c r="L19" t="s">
        <v>38</v>
      </c>
      <c r="M19" t="s">
        <v>300</v>
      </c>
    </row>
    <row r="20" spans="2:13">
      <c r="B20" s="13" t="s">
        <v>166</v>
      </c>
      <c r="C20" s="13">
        <v>1</v>
      </c>
      <c r="E20">
        <v>5</v>
      </c>
      <c r="H20" t="s">
        <v>298</v>
      </c>
      <c r="I20" t="s">
        <v>299</v>
      </c>
      <c r="J20" t="s">
        <v>303</v>
      </c>
      <c r="K20" t="s">
        <v>302</v>
      </c>
      <c r="L20" t="s">
        <v>38</v>
      </c>
      <c r="M20" t="s">
        <v>300</v>
      </c>
    </row>
    <row r="21" spans="2:13">
      <c r="B21" s="13" t="s">
        <v>174</v>
      </c>
      <c r="C21" s="13">
        <v>1</v>
      </c>
      <c r="E21">
        <v>5</v>
      </c>
      <c r="F21" s="15">
        <v>5</v>
      </c>
      <c r="H21" t="s">
        <v>303</v>
      </c>
      <c r="I21" t="s">
        <v>302</v>
      </c>
      <c r="J21" t="s">
        <v>38</v>
      </c>
      <c r="K21" t="s">
        <v>38</v>
      </c>
      <c r="L21" t="s">
        <v>38</v>
      </c>
    </row>
    <row r="22" spans="2:13">
      <c r="B22" s="13" t="s">
        <v>168</v>
      </c>
      <c r="C22" s="13">
        <v>1</v>
      </c>
      <c r="E22">
        <v>5</v>
      </c>
      <c r="F22" s="15">
        <v>5</v>
      </c>
      <c r="H22" t="s">
        <v>303</v>
      </c>
      <c r="I22" t="s">
        <v>302</v>
      </c>
      <c r="J22" t="s">
        <v>38</v>
      </c>
      <c r="K22" t="s">
        <v>38</v>
      </c>
      <c r="L22" t="s">
        <v>38</v>
      </c>
    </row>
    <row r="23" spans="2:13">
      <c r="B23" s="13" t="s">
        <v>173</v>
      </c>
      <c r="C23" s="13">
        <v>1</v>
      </c>
      <c r="E23">
        <v>5</v>
      </c>
      <c r="F23" s="15">
        <v>5</v>
      </c>
      <c r="H23" t="s">
        <v>298</v>
      </c>
      <c r="I23" t="s">
        <v>299</v>
      </c>
      <c r="J23" t="s">
        <v>303</v>
      </c>
      <c r="K23" t="s">
        <v>302</v>
      </c>
      <c r="L23" t="s">
        <v>38</v>
      </c>
    </row>
    <row r="24" spans="2:13">
      <c r="B24" s="13" t="s">
        <v>169</v>
      </c>
      <c r="C24" s="13">
        <v>2</v>
      </c>
      <c r="E24">
        <v>5</v>
      </c>
      <c r="F24" s="15">
        <v>5</v>
      </c>
      <c r="H24" t="s">
        <v>298</v>
      </c>
      <c r="I24" t="s">
        <v>299</v>
      </c>
      <c r="J24" t="s">
        <v>303</v>
      </c>
      <c r="K24" t="s">
        <v>302</v>
      </c>
      <c r="L24" t="s">
        <v>38</v>
      </c>
    </row>
    <row r="25" spans="2:13">
      <c r="B25" s="13" t="s">
        <v>143</v>
      </c>
      <c r="C25" s="13">
        <v>11</v>
      </c>
      <c r="E25">
        <v>5</v>
      </c>
      <c r="F25" s="15">
        <v>5</v>
      </c>
      <c r="H25" t="s">
        <v>303</v>
      </c>
      <c r="I25" t="s">
        <v>38</v>
      </c>
      <c r="J25" t="s">
        <v>38</v>
      </c>
      <c r="K25" t="s">
        <v>38</v>
      </c>
      <c r="L25" t="s">
        <v>38</v>
      </c>
    </row>
    <row r="26" spans="2:13">
      <c r="B26" s="13" t="s">
        <v>145</v>
      </c>
      <c r="C26" s="13">
        <v>4</v>
      </c>
      <c r="E26">
        <v>5</v>
      </c>
      <c r="F26" s="15">
        <v>5</v>
      </c>
      <c r="G26">
        <v>1</v>
      </c>
      <c r="H26" t="s">
        <v>304</v>
      </c>
      <c r="I26" t="s">
        <v>38</v>
      </c>
      <c r="J26" t="s">
        <v>38</v>
      </c>
      <c r="K26" t="s">
        <v>38</v>
      </c>
      <c r="L26" t="s">
        <v>38</v>
      </c>
    </row>
    <row r="27" spans="2:13">
      <c r="B27" s="13" t="s">
        <v>146</v>
      </c>
      <c r="C27" s="13">
        <v>1</v>
      </c>
      <c r="E27">
        <v>5</v>
      </c>
      <c r="F27" s="15">
        <v>5</v>
      </c>
      <c r="G27">
        <v>1</v>
      </c>
      <c r="H27" t="s">
        <v>304</v>
      </c>
      <c r="I27" t="s">
        <v>38</v>
      </c>
      <c r="J27" t="s">
        <v>38</v>
      </c>
      <c r="K27" t="s">
        <v>38</v>
      </c>
      <c r="L27" t="s">
        <v>38</v>
      </c>
    </row>
    <row r="28" spans="2:13">
      <c r="B28" s="13" t="s">
        <v>147</v>
      </c>
      <c r="C28" s="13">
        <v>5</v>
      </c>
      <c r="E28">
        <v>5</v>
      </c>
      <c r="G28">
        <v>1</v>
      </c>
      <c r="H28" t="s">
        <v>304</v>
      </c>
      <c r="I28" t="s">
        <v>38</v>
      </c>
      <c r="J28" t="s">
        <v>38</v>
      </c>
      <c r="K28" t="s">
        <v>38</v>
      </c>
      <c r="L28" t="s">
        <v>38</v>
      </c>
    </row>
    <row r="29" spans="2:13">
      <c r="B29" s="13" t="s">
        <v>133</v>
      </c>
      <c r="C29" s="13">
        <v>1</v>
      </c>
      <c r="E29">
        <v>5</v>
      </c>
      <c r="G29">
        <v>1</v>
      </c>
      <c r="H29" t="s">
        <v>304</v>
      </c>
      <c r="I29" t="s">
        <v>38</v>
      </c>
      <c r="J29" t="s">
        <v>38</v>
      </c>
      <c r="K29" t="s">
        <v>38</v>
      </c>
      <c r="L29" t="s">
        <v>38</v>
      </c>
    </row>
    <row r="30" spans="2:13">
      <c r="B30" s="13" t="s">
        <v>167</v>
      </c>
      <c r="C30" s="13">
        <v>1</v>
      </c>
      <c r="E30">
        <v>5</v>
      </c>
      <c r="G30">
        <v>1</v>
      </c>
      <c r="H30" t="s">
        <v>304</v>
      </c>
      <c r="I30" t="s">
        <v>38</v>
      </c>
      <c r="J30" t="s">
        <v>38</v>
      </c>
      <c r="K30" t="s">
        <v>38</v>
      </c>
      <c r="L30" t="s">
        <v>38</v>
      </c>
    </row>
    <row r="31" spans="2:13">
      <c r="B31" s="13" t="s">
        <v>169</v>
      </c>
      <c r="C31" s="13">
        <v>7</v>
      </c>
      <c r="E31">
        <v>5</v>
      </c>
      <c r="G31">
        <v>1</v>
      </c>
      <c r="H31" t="s">
        <v>298</v>
      </c>
      <c r="I31" t="s">
        <v>299</v>
      </c>
      <c r="J31" t="s">
        <v>304</v>
      </c>
      <c r="K31" t="s">
        <v>302</v>
      </c>
      <c r="L31" t="s">
        <v>38</v>
      </c>
    </row>
    <row r="32" spans="2:13">
      <c r="B32" s="13" t="s">
        <v>166</v>
      </c>
      <c r="C32" s="13">
        <v>2</v>
      </c>
      <c r="D32">
        <v>1</v>
      </c>
      <c r="E32">
        <v>5</v>
      </c>
      <c r="F32">
        <v>5</v>
      </c>
      <c r="G32">
        <v>1</v>
      </c>
      <c r="H32" t="s">
        <v>298</v>
      </c>
      <c r="I32" t="s">
        <v>299</v>
      </c>
      <c r="J32" t="s">
        <v>304</v>
      </c>
      <c r="K32" t="s">
        <v>302</v>
      </c>
      <c r="L32" t="s">
        <v>38</v>
      </c>
      <c r="M32" t="s">
        <v>300</v>
      </c>
    </row>
    <row r="33" spans="2:13">
      <c r="B33" s="13" t="s">
        <v>168</v>
      </c>
      <c r="C33" s="13">
        <v>1</v>
      </c>
      <c r="D33">
        <v>1</v>
      </c>
      <c r="E33">
        <v>5</v>
      </c>
      <c r="F33">
        <v>5</v>
      </c>
      <c r="G33">
        <v>1</v>
      </c>
      <c r="H33" t="s">
        <v>304</v>
      </c>
      <c r="I33" t="s">
        <v>302</v>
      </c>
      <c r="J33" t="s">
        <v>38</v>
      </c>
      <c r="K33" t="s">
        <v>38</v>
      </c>
      <c r="L33" t="s">
        <v>38</v>
      </c>
      <c r="M33" t="s">
        <v>300</v>
      </c>
    </row>
    <row r="34" spans="2:13">
      <c r="B34" s="13" t="s">
        <v>170</v>
      </c>
      <c r="C34" s="13">
        <v>1</v>
      </c>
      <c r="D34">
        <v>1</v>
      </c>
      <c r="E34">
        <v>5</v>
      </c>
      <c r="F34">
        <v>5</v>
      </c>
      <c r="G34">
        <v>1</v>
      </c>
      <c r="H34" t="s">
        <v>304</v>
      </c>
      <c r="I34" t="s">
        <v>38</v>
      </c>
      <c r="J34" t="s">
        <v>38</v>
      </c>
      <c r="K34" t="s">
        <v>38</v>
      </c>
      <c r="L34" t="s">
        <v>38</v>
      </c>
      <c r="M34" t="s">
        <v>300</v>
      </c>
    </row>
    <row r="35" spans="2:13">
      <c r="B35" s="13" t="s">
        <v>145</v>
      </c>
      <c r="C35" s="13">
        <v>4</v>
      </c>
      <c r="D35">
        <v>1</v>
      </c>
      <c r="E35">
        <v>5</v>
      </c>
      <c r="F35">
        <v>5</v>
      </c>
      <c r="G35">
        <v>1</v>
      </c>
      <c r="H35" t="s">
        <v>304</v>
      </c>
      <c r="I35" t="s">
        <v>38</v>
      </c>
      <c r="J35" t="s">
        <v>38</v>
      </c>
      <c r="K35" t="s">
        <v>38</v>
      </c>
      <c r="L35" t="s">
        <v>38</v>
      </c>
      <c r="M35" t="s">
        <v>300</v>
      </c>
    </row>
    <row r="36" spans="2:13">
      <c r="B36" s="13" t="s">
        <v>146</v>
      </c>
      <c r="C36" s="13">
        <v>1</v>
      </c>
      <c r="D36">
        <v>1</v>
      </c>
      <c r="E36">
        <v>5</v>
      </c>
      <c r="F36">
        <v>5</v>
      </c>
      <c r="G36">
        <v>1</v>
      </c>
      <c r="H36" t="s">
        <v>304</v>
      </c>
      <c r="I36" t="s">
        <v>38</v>
      </c>
      <c r="J36" t="s">
        <v>38</v>
      </c>
      <c r="K36" t="s">
        <v>38</v>
      </c>
      <c r="L36" t="s">
        <v>38</v>
      </c>
      <c r="M36" t="s">
        <v>300</v>
      </c>
    </row>
    <row r="37" spans="2:13">
      <c r="B37" s="13" t="s">
        <v>147</v>
      </c>
      <c r="C37" s="13">
        <v>5</v>
      </c>
      <c r="D37">
        <v>1</v>
      </c>
      <c r="E37">
        <v>5</v>
      </c>
      <c r="F37">
        <v>5</v>
      </c>
      <c r="G37">
        <v>1</v>
      </c>
      <c r="H37" t="s">
        <v>304</v>
      </c>
      <c r="I37" t="s">
        <v>38</v>
      </c>
      <c r="J37" t="s">
        <v>38</v>
      </c>
      <c r="K37" t="s">
        <v>38</v>
      </c>
      <c r="L37" t="s">
        <v>38</v>
      </c>
      <c r="M37" t="s">
        <v>300</v>
      </c>
    </row>
    <row r="38" spans="2:13">
      <c r="B38" s="13" t="s">
        <v>171</v>
      </c>
      <c r="C38" s="13">
        <v>1</v>
      </c>
      <c r="D38">
        <v>1</v>
      </c>
      <c r="E38">
        <v>5</v>
      </c>
      <c r="F38">
        <v>5</v>
      </c>
      <c r="G38">
        <v>1</v>
      </c>
      <c r="H38" t="s">
        <v>304</v>
      </c>
      <c r="I38" t="s">
        <v>305</v>
      </c>
      <c r="J38" t="s">
        <v>38</v>
      </c>
      <c r="K38" t="s">
        <v>38</v>
      </c>
      <c r="L38" t="s">
        <v>38</v>
      </c>
    </row>
    <row r="39" spans="2:13">
      <c r="B39" s="13" t="s">
        <v>143</v>
      </c>
      <c r="C39" s="13">
        <v>28</v>
      </c>
      <c r="D39">
        <v>1</v>
      </c>
      <c r="E39">
        <v>5</v>
      </c>
      <c r="F39">
        <v>5</v>
      </c>
      <c r="G39">
        <v>1</v>
      </c>
      <c r="H39" t="s">
        <v>304</v>
      </c>
      <c r="I39" t="s">
        <v>38</v>
      </c>
      <c r="J39" t="s">
        <v>38</v>
      </c>
      <c r="K39" t="s">
        <v>38</v>
      </c>
      <c r="L39" t="s">
        <v>38</v>
      </c>
    </row>
    <row r="40" spans="2:13">
      <c r="B40" s="13" t="s">
        <v>169</v>
      </c>
      <c r="C40" s="13">
        <v>11</v>
      </c>
      <c r="D40">
        <v>1</v>
      </c>
      <c r="E40">
        <v>5</v>
      </c>
      <c r="F40">
        <v>5</v>
      </c>
      <c r="G40">
        <v>1</v>
      </c>
      <c r="H40" t="s">
        <v>298</v>
      </c>
      <c r="I40" t="s">
        <v>299</v>
      </c>
      <c r="J40" t="s">
        <v>304</v>
      </c>
      <c r="K40" t="s">
        <v>302</v>
      </c>
      <c r="L40" t="s">
        <v>38</v>
      </c>
    </row>
    <row r="41" spans="2:13">
      <c r="B41" s="13" t="s">
        <v>133</v>
      </c>
      <c r="C41" s="13">
        <v>1</v>
      </c>
      <c r="D41">
        <v>1</v>
      </c>
      <c r="E41">
        <v>5</v>
      </c>
      <c r="F41">
        <v>5</v>
      </c>
      <c r="G41">
        <v>1</v>
      </c>
      <c r="H41" t="s">
        <v>304</v>
      </c>
      <c r="I41" t="s">
        <v>38</v>
      </c>
      <c r="J41" t="s">
        <v>38</v>
      </c>
      <c r="K41" t="s">
        <v>38</v>
      </c>
      <c r="L41" t="s">
        <v>38</v>
      </c>
    </row>
    <row r="42" spans="2:13">
      <c r="B42" s="13" t="s">
        <v>166</v>
      </c>
      <c r="C42" s="13">
        <v>1</v>
      </c>
      <c r="E42">
        <v>5</v>
      </c>
      <c r="F42">
        <v>5</v>
      </c>
      <c r="H42" t="s">
        <v>298</v>
      </c>
      <c r="I42" t="s">
        <v>299</v>
      </c>
      <c r="J42" t="s">
        <v>303</v>
      </c>
      <c r="K42" t="s">
        <v>302</v>
      </c>
      <c r="L42" t="s">
        <v>38</v>
      </c>
    </row>
    <row r="43" spans="2:13">
      <c r="B43" s="13" t="s">
        <v>143</v>
      </c>
      <c r="C43" s="13">
        <v>2</v>
      </c>
      <c r="E43">
        <v>5</v>
      </c>
      <c r="F43">
        <v>5</v>
      </c>
      <c r="H43" t="s">
        <v>303</v>
      </c>
      <c r="I43" t="s">
        <v>38</v>
      </c>
      <c r="J43" t="s">
        <v>38</v>
      </c>
      <c r="K43" t="s">
        <v>38</v>
      </c>
      <c r="L43" t="s">
        <v>38</v>
      </c>
    </row>
    <row r="44" spans="2:13">
      <c r="B44" s="13" t="s">
        <v>129</v>
      </c>
      <c r="C44" s="13">
        <v>14</v>
      </c>
      <c r="E44">
        <v>5</v>
      </c>
      <c r="H44" t="s">
        <v>304</v>
      </c>
      <c r="I44" t="s">
        <v>38</v>
      </c>
      <c r="J44" t="s">
        <v>38</v>
      </c>
      <c r="K44" t="s">
        <v>38</v>
      </c>
      <c r="L44" t="s">
        <v>38</v>
      </c>
    </row>
    <row r="45" spans="2:13">
      <c r="B45" s="13" t="s">
        <v>130</v>
      </c>
      <c r="C45" s="13">
        <v>14</v>
      </c>
      <c r="E45">
        <v>5</v>
      </c>
      <c r="H45" t="s">
        <v>304</v>
      </c>
      <c r="I45" t="s">
        <v>38</v>
      </c>
      <c r="J45" t="s">
        <v>38</v>
      </c>
      <c r="K45" t="s">
        <v>38</v>
      </c>
      <c r="L45" t="s">
        <v>38</v>
      </c>
    </row>
    <row r="46" spans="2:13">
      <c r="B46" s="13" t="s">
        <v>129</v>
      </c>
      <c r="C46" s="13">
        <v>6.5</v>
      </c>
      <c r="E46">
        <v>5</v>
      </c>
      <c r="H46" t="s">
        <v>38</v>
      </c>
      <c r="I46" t="s">
        <v>38</v>
      </c>
      <c r="J46" t="s">
        <v>38</v>
      </c>
      <c r="K46" t="s">
        <v>38</v>
      </c>
      <c r="L46" t="s">
        <v>38</v>
      </c>
    </row>
    <row r="47" spans="2:13">
      <c r="B47" s="13" t="s">
        <v>130</v>
      </c>
      <c r="C47" s="13">
        <v>6.5</v>
      </c>
      <c r="E47">
        <v>5</v>
      </c>
      <c r="H47" t="s">
        <v>38</v>
      </c>
      <c r="I47" t="s">
        <v>38</v>
      </c>
      <c r="J47" t="s">
        <v>38</v>
      </c>
      <c r="K47" t="s">
        <v>38</v>
      </c>
      <c r="L47" t="s">
        <v>38</v>
      </c>
    </row>
    <row r="48" spans="2:13">
      <c r="B48" s="13" t="s">
        <v>129</v>
      </c>
      <c r="C48" s="13">
        <v>12.5</v>
      </c>
      <c r="E48">
        <v>5</v>
      </c>
      <c r="H48" t="s">
        <v>303</v>
      </c>
      <c r="I48" t="s">
        <v>38</v>
      </c>
      <c r="J48" t="s">
        <v>38</v>
      </c>
      <c r="K48" t="s">
        <v>38</v>
      </c>
      <c r="L48" t="s">
        <v>38</v>
      </c>
    </row>
    <row r="49" spans="2:12">
      <c r="B49" s="13" t="s">
        <v>130</v>
      </c>
      <c r="C49" s="13">
        <v>12.5</v>
      </c>
      <c r="E49">
        <v>5</v>
      </c>
      <c r="H49" t="s">
        <v>303</v>
      </c>
      <c r="I49" t="s">
        <v>38</v>
      </c>
      <c r="J49" t="s">
        <v>38</v>
      </c>
      <c r="K49" t="s">
        <v>38</v>
      </c>
      <c r="L49" t="s">
        <v>38</v>
      </c>
    </row>
    <row r="50" spans="2:12">
      <c r="B50" s="13" t="s">
        <v>64</v>
      </c>
      <c r="C50" s="13">
        <v>5</v>
      </c>
      <c r="E50">
        <v>5</v>
      </c>
      <c r="H50" t="s">
        <v>303</v>
      </c>
      <c r="I50" t="s">
        <v>38</v>
      </c>
      <c r="J50" t="s">
        <v>38</v>
      </c>
      <c r="K50" t="s">
        <v>38</v>
      </c>
      <c r="L50" t="s">
        <v>38</v>
      </c>
    </row>
    <row r="51" spans="2:12">
      <c r="B51" s="13" t="s">
        <v>38</v>
      </c>
      <c r="C51" s="13">
        <v>1</v>
      </c>
      <c r="H51" t="s">
        <v>38</v>
      </c>
      <c r="I51" t="s">
        <v>38</v>
      </c>
      <c r="J51" t="s">
        <v>38</v>
      </c>
      <c r="K51" t="s">
        <v>38</v>
      </c>
      <c r="L51" t="s">
        <v>38</v>
      </c>
    </row>
    <row r="52" spans="2:12">
      <c r="B52" s="13" t="s">
        <v>38</v>
      </c>
      <c r="C52" s="13">
        <v>1</v>
      </c>
      <c r="H52" t="s">
        <v>38</v>
      </c>
      <c r="I52" t="s">
        <v>38</v>
      </c>
      <c r="J52" t="s">
        <v>38</v>
      </c>
      <c r="K52" t="s">
        <v>38</v>
      </c>
      <c r="L52" t="s">
        <v>38</v>
      </c>
    </row>
    <row r="53" spans="2:12">
      <c r="B53" s="13" t="s">
        <v>38</v>
      </c>
      <c r="C53" s="13">
        <v>1</v>
      </c>
      <c r="H53" t="s">
        <v>38</v>
      </c>
      <c r="I53" t="s">
        <v>38</v>
      </c>
      <c r="J53" t="s">
        <v>38</v>
      </c>
      <c r="K53" t="s">
        <v>38</v>
      </c>
      <c r="L53" t="s">
        <v>38</v>
      </c>
    </row>
    <row r="54" spans="2:12">
      <c r="B54" s="13" t="s">
        <v>38</v>
      </c>
      <c r="C54" s="13">
        <v>1</v>
      </c>
      <c r="H54" t="s">
        <v>38</v>
      </c>
      <c r="I54" t="s">
        <v>38</v>
      </c>
      <c r="J54" t="s">
        <v>38</v>
      </c>
      <c r="K54" t="s">
        <v>38</v>
      </c>
      <c r="L54" t="s">
        <v>38</v>
      </c>
    </row>
    <row r="55" spans="2:12">
      <c r="B55" s="13" t="s">
        <v>38</v>
      </c>
      <c r="C55" s="13">
        <v>1</v>
      </c>
      <c r="H55" t="s">
        <v>38</v>
      </c>
      <c r="I55" t="s">
        <v>38</v>
      </c>
      <c r="J55" t="s">
        <v>38</v>
      </c>
      <c r="K55" t="s">
        <v>38</v>
      </c>
      <c r="L55" t="s">
        <v>38</v>
      </c>
    </row>
    <row r="56" spans="2:12">
      <c r="B56" s="13" t="s">
        <v>38</v>
      </c>
      <c r="C56" s="13">
        <v>1</v>
      </c>
      <c r="H56" t="s">
        <v>38</v>
      </c>
      <c r="I56" t="s">
        <v>38</v>
      </c>
      <c r="J56" t="s">
        <v>38</v>
      </c>
      <c r="K56" t="s">
        <v>38</v>
      </c>
      <c r="L56" t="s">
        <v>38</v>
      </c>
    </row>
    <row r="57" spans="2:12">
      <c r="B57" s="13" t="s">
        <v>38</v>
      </c>
      <c r="C57" s="13">
        <v>1</v>
      </c>
      <c r="H57" t="s">
        <v>38</v>
      </c>
      <c r="I57" t="s">
        <v>38</v>
      </c>
      <c r="J57" t="s">
        <v>38</v>
      </c>
      <c r="K57" t="s">
        <v>38</v>
      </c>
      <c r="L57" t="s">
        <v>38</v>
      </c>
    </row>
    <row r="58" spans="2:12">
      <c r="B58" s="13" t="s">
        <v>38</v>
      </c>
      <c r="C58" s="13">
        <v>1</v>
      </c>
      <c r="H58" t="s">
        <v>38</v>
      </c>
      <c r="I58" t="s">
        <v>38</v>
      </c>
      <c r="J58" t="s">
        <v>38</v>
      </c>
      <c r="K58" t="s">
        <v>38</v>
      </c>
      <c r="L58" t="s">
        <v>38</v>
      </c>
    </row>
    <row r="59" spans="2:12">
      <c r="B59" s="13" t="s">
        <v>38</v>
      </c>
      <c r="C59" s="13">
        <v>1</v>
      </c>
      <c r="H59" t="s">
        <v>38</v>
      </c>
      <c r="I59" t="s">
        <v>38</v>
      </c>
      <c r="J59" t="s">
        <v>38</v>
      </c>
      <c r="K59" t="s">
        <v>38</v>
      </c>
      <c r="L59" t="s">
        <v>38</v>
      </c>
    </row>
    <row r="60" spans="2:12">
      <c r="B60" s="13" t="s">
        <v>38</v>
      </c>
      <c r="C60" s="13">
        <v>1</v>
      </c>
      <c r="H60" t="s">
        <v>38</v>
      </c>
      <c r="I60" t="s">
        <v>38</v>
      </c>
      <c r="J60" t="s">
        <v>38</v>
      </c>
      <c r="K60" t="s">
        <v>38</v>
      </c>
      <c r="L60" t="s">
        <v>38</v>
      </c>
    </row>
    <row r="61" spans="2:12">
      <c r="B61" s="13" t="s">
        <v>38</v>
      </c>
      <c r="C61" s="13">
        <v>1</v>
      </c>
      <c r="H61" t="s">
        <v>38</v>
      </c>
      <c r="I61" t="s">
        <v>38</v>
      </c>
      <c r="J61" t="s">
        <v>38</v>
      </c>
      <c r="K61" t="s">
        <v>38</v>
      </c>
      <c r="L61" t="s">
        <v>38</v>
      </c>
    </row>
    <row r="62" spans="2:12">
      <c r="B62" s="13" t="s">
        <v>38</v>
      </c>
      <c r="C62" s="13">
        <v>1</v>
      </c>
      <c r="H62" t="s">
        <v>38</v>
      </c>
      <c r="I62" t="s">
        <v>38</v>
      </c>
      <c r="J62" t="s">
        <v>38</v>
      </c>
      <c r="K62" t="s">
        <v>38</v>
      </c>
      <c r="L62" t="s">
        <v>38</v>
      </c>
    </row>
    <row r="63" spans="2:12">
      <c r="B63" s="13" t="s">
        <v>38</v>
      </c>
      <c r="C63" s="13">
        <v>1</v>
      </c>
      <c r="H63" t="s">
        <v>38</v>
      </c>
      <c r="I63" t="s">
        <v>38</v>
      </c>
      <c r="J63" t="s">
        <v>38</v>
      </c>
      <c r="K63" t="s">
        <v>38</v>
      </c>
      <c r="L63" t="s">
        <v>38</v>
      </c>
    </row>
    <row r="64" spans="2:12">
      <c r="B64" s="13" t="s">
        <v>38</v>
      </c>
      <c r="C64" s="13">
        <v>1</v>
      </c>
      <c r="H64" t="s">
        <v>38</v>
      </c>
      <c r="I64" t="s">
        <v>38</v>
      </c>
      <c r="J64" t="s">
        <v>38</v>
      </c>
      <c r="K64" t="s">
        <v>38</v>
      </c>
      <c r="L64" t="s">
        <v>38</v>
      </c>
    </row>
    <row r="65" spans="2:12">
      <c r="B65" s="13" t="s">
        <v>38</v>
      </c>
      <c r="C65" s="13">
        <v>1</v>
      </c>
      <c r="H65" t="s">
        <v>38</v>
      </c>
      <c r="I65" t="s">
        <v>38</v>
      </c>
      <c r="J65" t="s">
        <v>38</v>
      </c>
      <c r="K65" t="s">
        <v>38</v>
      </c>
      <c r="L65" t="s">
        <v>38</v>
      </c>
    </row>
    <row r="66" spans="2:12">
      <c r="B66" s="13" t="s">
        <v>38</v>
      </c>
      <c r="C66" s="13">
        <v>1</v>
      </c>
      <c r="H66" t="s">
        <v>38</v>
      </c>
      <c r="I66" t="s">
        <v>38</v>
      </c>
      <c r="J66" t="s">
        <v>38</v>
      </c>
      <c r="K66" t="s">
        <v>38</v>
      </c>
      <c r="L66" t="s">
        <v>38</v>
      </c>
    </row>
    <row r="67" spans="2:12">
      <c r="B67" s="13" t="s">
        <v>38</v>
      </c>
      <c r="C67" s="13">
        <v>1</v>
      </c>
      <c r="H67" t="s">
        <v>38</v>
      </c>
      <c r="I67" t="s">
        <v>38</v>
      </c>
      <c r="J67" t="s">
        <v>38</v>
      </c>
      <c r="K67" t="s">
        <v>38</v>
      </c>
      <c r="L67" t="s">
        <v>38</v>
      </c>
    </row>
    <row r="68" spans="2:12">
      <c r="B68" s="13" t="s">
        <v>38</v>
      </c>
      <c r="C68" s="13">
        <v>1</v>
      </c>
      <c r="H68" t="s">
        <v>38</v>
      </c>
      <c r="I68" t="s">
        <v>38</v>
      </c>
      <c r="J68" t="s">
        <v>38</v>
      </c>
      <c r="K68" t="s">
        <v>38</v>
      </c>
      <c r="L68" t="s">
        <v>38</v>
      </c>
    </row>
    <row r="69" spans="2:12">
      <c r="B69" s="13" t="s">
        <v>38</v>
      </c>
      <c r="C69" s="13">
        <v>1</v>
      </c>
      <c r="H69" t="s">
        <v>38</v>
      </c>
      <c r="I69" t="s">
        <v>38</v>
      </c>
      <c r="J69" t="s">
        <v>38</v>
      </c>
      <c r="K69" t="s">
        <v>38</v>
      </c>
      <c r="L69" t="s">
        <v>38</v>
      </c>
    </row>
    <row r="70" spans="2:12">
      <c r="B70" s="13" t="s">
        <v>38</v>
      </c>
      <c r="C70" s="13">
        <v>1</v>
      </c>
      <c r="H70" t="s">
        <v>38</v>
      </c>
      <c r="I70" t="s">
        <v>38</v>
      </c>
      <c r="J70" t="s">
        <v>38</v>
      </c>
      <c r="K70" t="s">
        <v>38</v>
      </c>
      <c r="L70" t="s">
        <v>38</v>
      </c>
    </row>
    <row r="71" spans="2:12">
      <c r="B71" s="13" t="s">
        <v>38</v>
      </c>
      <c r="C71" s="13">
        <v>1</v>
      </c>
      <c r="H71" t="s">
        <v>38</v>
      </c>
      <c r="I71" t="s">
        <v>38</v>
      </c>
      <c r="J71" t="s">
        <v>38</v>
      </c>
      <c r="K71" t="s">
        <v>38</v>
      </c>
      <c r="L71" t="s">
        <v>38</v>
      </c>
    </row>
    <row r="72" spans="2:12">
      <c r="B72" s="13" t="s">
        <v>38</v>
      </c>
      <c r="C72" s="13">
        <v>1</v>
      </c>
      <c r="H72" t="s">
        <v>38</v>
      </c>
      <c r="I72" t="s">
        <v>38</v>
      </c>
      <c r="J72" t="s">
        <v>38</v>
      </c>
      <c r="K72" t="s">
        <v>38</v>
      </c>
      <c r="L72" t="s">
        <v>38</v>
      </c>
    </row>
    <row r="73" spans="2:12">
      <c r="B73" s="13" t="s">
        <v>38</v>
      </c>
      <c r="C73" s="13">
        <v>1</v>
      </c>
      <c r="H73" t="s">
        <v>38</v>
      </c>
      <c r="I73" t="s">
        <v>38</v>
      </c>
      <c r="J73" t="s">
        <v>38</v>
      </c>
      <c r="K73" t="s">
        <v>38</v>
      </c>
      <c r="L73" t="s">
        <v>38</v>
      </c>
    </row>
    <row r="74" spans="2:12">
      <c r="B74" s="13" t="s">
        <v>38</v>
      </c>
      <c r="C74" s="13">
        <v>1</v>
      </c>
      <c r="H74" t="s">
        <v>38</v>
      </c>
      <c r="I74" t="s">
        <v>38</v>
      </c>
      <c r="J74" t="s">
        <v>38</v>
      </c>
      <c r="K74" t="s">
        <v>38</v>
      </c>
      <c r="L74" t="s">
        <v>38</v>
      </c>
    </row>
    <row r="75" spans="2:12">
      <c r="B75" s="13" t="s">
        <v>38</v>
      </c>
      <c r="C75" s="13">
        <v>1</v>
      </c>
      <c r="H75" t="s">
        <v>38</v>
      </c>
      <c r="I75" t="s">
        <v>38</v>
      </c>
      <c r="J75" t="s">
        <v>38</v>
      </c>
      <c r="K75" t="s">
        <v>38</v>
      </c>
      <c r="L75" t="s">
        <v>38</v>
      </c>
    </row>
    <row r="76" spans="2:12">
      <c r="B76" s="13" t="s">
        <v>38</v>
      </c>
      <c r="C76" s="13">
        <v>1</v>
      </c>
      <c r="H76" t="s">
        <v>38</v>
      </c>
      <c r="I76" t="s">
        <v>38</v>
      </c>
      <c r="J76" t="s">
        <v>38</v>
      </c>
      <c r="K76" t="s">
        <v>38</v>
      </c>
      <c r="L76" t="s">
        <v>38</v>
      </c>
    </row>
    <row r="77" spans="2:12">
      <c r="B77" s="13" t="s">
        <v>38</v>
      </c>
      <c r="C77" s="13">
        <v>1</v>
      </c>
      <c r="H77" t="s">
        <v>38</v>
      </c>
      <c r="I77" t="s">
        <v>38</v>
      </c>
      <c r="J77" t="s">
        <v>38</v>
      </c>
      <c r="K77" t="s">
        <v>38</v>
      </c>
      <c r="L77" t="s">
        <v>38</v>
      </c>
    </row>
    <row r="78" spans="2:12">
      <c r="B78" s="13" t="s">
        <v>38</v>
      </c>
      <c r="C78" s="13">
        <v>1</v>
      </c>
      <c r="H78" t="s">
        <v>38</v>
      </c>
      <c r="I78" t="s">
        <v>38</v>
      </c>
      <c r="J78" t="s">
        <v>38</v>
      </c>
      <c r="K78" t="s">
        <v>38</v>
      </c>
      <c r="L78" t="s">
        <v>38</v>
      </c>
    </row>
    <row r="79" spans="2:12">
      <c r="B79" s="13" t="s">
        <v>38</v>
      </c>
      <c r="C79" s="13">
        <v>1</v>
      </c>
      <c r="H79" t="s">
        <v>38</v>
      </c>
      <c r="I79" t="s">
        <v>38</v>
      </c>
      <c r="J79" t="s">
        <v>38</v>
      </c>
      <c r="K79" t="s">
        <v>38</v>
      </c>
      <c r="L79" t="s">
        <v>38</v>
      </c>
    </row>
    <row r="80" spans="2:12">
      <c r="B80" s="13" t="s">
        <v>38</v>
      </c>
      <c r="C80" s="13">
        <v>1</v>
      </c>
      <c r="H80" t="s">
        <v>38</v>
      </c>
      <c r="I80" t="s">
        <v>38</v>
      </c>
      <c r="J80" t="s">
        <v>38</v>
      </c>
      <c r="K80" t="s">
        <v>38</v>
      </c>
      <c r="L80" t="s">
        <v>38</v>
      </c>
    </row>
    <row r="81" spans="1:16">
      <c r="B81" s="13" t="s">
        <v>38</v>
      </c>
      <c r="C81" s="13">
        <v>1</v>
      </c>
      <c r="H81" t="s">
        <v>38</v>
      </c>
      <c r="I81" t="s">
        <v>38</v>
      </c>
      <c r="J81" t="s">
        <v>38</v>
      </c>
      <c r="K81" t="s">
        <v>38</v>
      </c>
      <c r="L81" t="s">
        <v>38</v>
      </c>
    </row>
    <row r="82" spans="1:16">
      <c r="B82" s="13" t="s">
        <v>38</v>
      </c>
      <c r="C82" s="13">
        <v>1</v>
      </c>
      <c r="H82" t="s">
        <v>38</v>
      </c>
      <c r="I82" t="s">
        <v>38</v>
      </c>
      <c r="J82" t="s">
        <v>38</v>
      </c>
      <c r="K82" t="s">
        <v>38</v>
      </c>
      <c r="L82" t="s">
        <v>38</v>
      </c>
    </row>
    <row r="83" spans="1:16">
      <c r="B83" s="13" t="s">
        <v>38</v>
      </c>
      <c r="C83" s="13">
        <v>1</v>
      </c>
      <c r="H83" t="s">
        <v>38</v>
      </c>
      <c r="I83" t="s">
        <v>38</v>
      </c>
      <c r="J83" t="s">
        <v>38</v>
      </c>
      <c r="K83" t="s">
        <v>38</v>
      </c>
      <c r="L83" t="s">
        <v>38</v>
      </c>
    </row>
    <row r="84" spans="1:16">
      <c r="B84" s="13" t="s">
        <v>38</v>
      </c>
      <c r="C84" s="13">
        <v>1</v>
      </c>
      <c r="H84" t="s">
        <v>38</v>
      </c>
      <c r="I84" t="s">
        <v>38</v>
      </c>
      <c r="J84" t="s">
        <v>38</v>
      </c>
      <c r="K84" t="s">
        <v>38</v>
      </c>
      <c r="L84" t="s">
        <v>38</v>
      </c>
    </row>
    <row r="85" spans="1:16">
      <c r="B85" s="13" t="s">
        <v>38</v>
      </c>
      <c r="C85" s="13">
        <v>1</v>
      </c>
      <c r="H85" t="s">
        <v>38</v>
      </c>
      <c r="I85" t="s">
        <v>38</v>
      </c>
      <c r="J85" t="s">
        <v>38</v>
      </c>
      <c r="K85" t="s">
        <v>38</v>
      </c>
      <c r="L85" t="s">
        <v>38</v>
      </c>
    </row>
    <row r="86" spans="1:16">
      <c r="B86" s="13" t="s">
        <v>38</v>
      </c>
      <c r="C86" s="13">
        <v>1</v>
      </c>
      <c r="H86" t="s">
        <v>38</v>
      </c>
      <c r="I86" t="s">
        <v>38</v>
      </c>
      <c r="J86" t="s">
        <v>38</v>
      </c>
      <c r="K86" t="s">
        <v>38</v>
      </c>
      <c r="L86" t="s">
        <v>38</v>
      </c>
    </row>
    <row r="87" spans="1:16">
      <c r="B87" s="13" t="s">
        <v>38</v>
      </c>
      <c r="C87" s="13">
        <v>1</v>
      </c>
      <c r="H87" t="s">
        <v>38</v>
      </c>
      <c r="I87" t="s">
        <v>38</v>
      </c>
      <c r="J87" t="s">
        <v>38</v>
      </c>
      <c r="K87" t="s">
        <v>38</v>
      </c>
      <c r="L87" t="s">
        <v>38</v>
      </c>
    </row>
    <row r="88" spans="1:16">
      <c r="B88" s="13" t="s">
        <v>38</v>
      </c>
      <c r="C88" s="13">
        <v>1</v>
      </c>
      <c r="H88" t="s">
        <v>38</v>
      </c>
      <c r="I88" t="s">
        <v>38</v>
      </c>
      <c r="J88" t="s">
        <v>38</v>
      </c>
      <c r="K88" t="s">
        <v>38</v>
      </c>
      <c r="L88" t="s">
        <v>38</v>
      </c>
    </row>
    <row r="89" spans="1:16">
      <c r="B89" s="13" t="s">
        <v>38</v>
      </c>
      <c r="C89" s="13">
        <v>1</v>
      </c>
      <c r="H89" t="s">
        <v>38</v>
      </c>
      <c r="I89" t="s">
        <v>38</v>
      </c>
      <c r="J89" t="s">
        <v>38</v>
      </c>
      <c r="K89" t="s">
        <v>38</v>
      </c>
      <c r="L89" t="s">
        <v>38</v>
      </c>
    </row>
    <row r="90" spans="1:16">
      <c r="B90" s="13" t="s">
        <v>38</v>
      </c>
      <c r="C90" s="13">
        <v>1</v>
      </c>
      <c r="H90" t="s">
        <v>38</v>
      </c>
      <c r="I90" t="s">
        <v>38</v>
      </c>
      <c r="J90" t="s">
        <v>38</v>
      </c>
      <c r="K90" t="s">
        <v>38</v>
      </c>
      <c r="L90" t="s">
        <v>38</v>
      </c>
    </row>
    <row r="91" spans="1:16">
      <c r="B91" s="13" t="s">
        <v>38</v>
      </c>
      <c r="C91" s="13">
        <v>1</v>
      </c>
      <c r="H91" t="s">
        <v>38</v>
      </c>
      <c r="I91" t="s">
        <v>38</v>
      </c>
      <c r="J91" t="s">
        <v>38</v>
      </c>
      <c r="K91" t="s">
        <v>38</v>
      </c>
      <c r="L91" t="s">
        <v>38</v>
      </c>
    </row>
    <row r="92" spans="1:16">
      <c r="H92" s="11"/>
      <c r="I92" s="11"/>
      <c r="J92" s="11"/>
      <c r="K92" s="11"/>
      <c r="L92" s="11"/>
      <c r="M92" s="11"/>
      <c r="N92" s="11"/>
    </row>
    <row r="93" spans="1:16">
      <c r="A93" s="16" t="s">
        <v>77</v>
      </c>
      <c r="B93" s="17" t="s">
        <v>159</v>
      </c>
      <c r="C93" s="18">
        <v>1</v>
      </c>
      <c r="D93" s="19"/>
      <c r="E93" s="15">
        <v>1</v>
      </c>
      <c r="F93" s="15"/>
      <c r="G93" s="20"/>
      <c r="H93" s="21" t="s">
        <v>306</v>
      </c>
      <c r="I93" s="21" t="s">
        <v>38</v>
      </c>
      <c r="J93" s="21" t="s">
        <v>38</v>
      </c>
      <c r="K93" s="21" t="s">
        <v>38</v>
      </c>
      <c r="L93" s="21" t="s">
        <v>300</v>
      </c>
      <c r="M93" s="21"/>
      <c r="N93" s="21"/>
      <c r="O93" s="21">
        <v>25</v>
      </c>
      <c r="P93" s="21">
        <v>43074.73</v>
      </c>
    </row>
    <row r="94" spans="1:16">
      <c r="A94" s="21"/>
      <c r="B94" s="17" t="s">
        <v>162</v>
      </c>
      <c r="C94" s="18">
        <v>1</v>
      </c>
      <c r="D94" s="19"/>
      <c r="E94" s="15">
        <v>1</v>
      </c>
      <c r="F94" s="15"/>
      <c r="G94" s="20"/>
      <c r="H94" s="21" t="s">
        <v>306</v>
      </c>
      <c r="I94" s="21" t="s">
        <v>38</v>
      </c>
      <c r="J94" s="21" t="s">
        <v>307</v>
      </c>
      <c r="K94" s="21" t="s">
        <v>38</v>
      </c>
      <c r="L94" s="21" t="s">
        <v>300</v>
      </c>
      <c r="M94" s="21" t="s">
        <v>308</v>
      </c>
      <c r="N94" s="21"/>
      <c r="O94" s="21"/>
      <c r="P94" s="21"/>
    </row>
    <row r="95" spans="1:16">
      <c r="A95" s="21"/>
      <c r="B95" s="17" t="s">
        <v>156</v>
      </c>
      <c r="C95" s="18">
        <v>1</v>
      </c>
      <c r="D95" s="19"/>
      <c r="E95" s="15">
        <v>1</v>
      </c>
      <c r="F95" s="15"/>
      <c r="G95" s="20"/>
      <c r="H95" s="21" t="s">
        <v>38</v>
      </c>
      <c r="I95" s="21" t="s">
        <v>38</v>
      </c>
      <c r="J95" s="21" t="s">
        <v>309</v>
      </c>
      <c r="K95" s="21" t="s">
        <v>38</v>
      </c>
      <c r="L95" s="21" t="s">
        <v>300</v>
      </c>
      <c r="M95" s="21"/>
      <c r="N95" s="21"/>
      <c r="O95" s="21"/>
      <c r="P95" s="21"/>
    </row>
    <row r="96" spans="1:16">
      <c r="A96" s="21"/>
      <c r="B96" s="17" t="s">
        <v>159</v>
      </c>
      <c r="C96" s="18">
        <v>1</v>
      </c>
      <c r="D96" s="19"/>
      <c r="E96" s="15">
        <v>3</v>
      </c>
      <c r="F96" s="15"/>
      <c r="G96" s="20">
        <v>1</v>
      </c>
      <c r="H96" s="21" t="s">
        <v>306</v>
      </c>
      <c r="I96" s="21" t="s">
        <v>310</v>
      </c>
      <c r="J96" s="21" t="s">
        <v>309</v>
      </c>
      <c r="K96" s="21" t="s">
        <v>38</v>
      </c>
      <c r="L96" s="21" t="s">
        <v>38</v>
      </c>
      <c r="M96" s="21"/>
      <c r="N96" s="21"/>
      <c r="O96" s="21"/>
      <c r="P96" s="21"/>
    </row>
    <row r="97" spans="1:16">
      <c r="A97" s="21"/>
      <c r="B97" s="17" t="s">
        <v>162</v>
      </c>
      <c r="C97" s="18">
        <v>1</v>
      </c>
      <c r="D97" s="19"/>
      <c r="E97" s="15">
        <v>3</v>
      </c>
      <c r="F97" s="15"/>
      <c r="G97" s="20">
        <v>1</v>
      </c>
      <c r="H97" s="21" t="s">
        <v>306</v>
      </c>
      <c r="I97" s="21" t="s">
        <v>310</v>
      </c>
      <c r="J97" s="21" t="s">
        <v>311</v>
      </c>
      <c r="K97" s="21" t="s">
        <v>38</v>
      </c>
      <c r="L97" s="21" t="s">
        <v>38</v>
      </c>
      <c r="M97" s="21" t="s">
        <v>308</v>
      </c>
      <c r="N97" s="21"/>
      <c r="O97" s="21"/>
      <c r="P97" s="21"/>
    </row>
    <row r="98" spans="1:16">
      <c r="A98" s="21"/>
      <c r="B98" s="17" t="s">
        <v>159</v>
      </c>
      <c r="C98" s="18">
        <v>1</v>
      </c>
      <c r="D98" s="19">
        <v>1</v>
      </c>
      <c r="E98" s="15">
        <v>4</v>
      </c>
      <c r="F98" s="15">
        <v>1</v>
      </c>
      <c r="G98" s="20">
        <v>1</v>
      </c>
      <c r="H98" s="21" t="s">
        <v>306</v>
      </c>
      <c r="I98" s="21" t="s">
        <v>310</v>
      </c>
      <c r="J98" s="21" t="s">
        <v>312</v>
      </c>
      <c r="K98" s="21" t="s">
        <v>38</v>
      </c>
      <c r="L98" s="21" t="s">
        <v>300</v>
      </c>
      <c r="M98" s="21"/>
      <c r="N98" s="21"/>
      <c r="O98" s="21"/>
      <c r="P98" s="21"/>
    </row>
    <row r="99" spans="1:16">
      <c r="A99" s="21"/>
      <c r="B99" s="17" t="s">
        <v>162</v>
      </c>
      <c r="C99" s="18">
        <v>1</v>
      </c>
      <c r="D99" s="19">
        <v>1</v>
      </c>
      <c r="E99" s="15">
        <v>4</v>
      </c>
      <c r="F99" s="15">
        <v>2</v>
      </c>
      <c r="G99" s="20">
        <v>1</v>
      </c>
      <c r="H99" s="21" t="s">
        <v>306</v>
      </c>
      <c r="I99" s="21" t="s">
        <v>310</v>
      </c>
      <c r="J99" s="21" t="s">
        <v>313</v>
      </c>
      <c r="K99" s="21" t="s">
        <v>38</v>
      </c>
      <c r="L99" s="21" t="s">
        <v>300</v>
      </c>
      <c r="M99" s="21" t="s">
        <v>308</v>
      </c>
      <c r="N99" s="21"/>
      <c r="O99" s="21"/>
      <c r="P99" s="21"/>
    </row>
    <row r="100" spans="1:16">
      <c r="A100" s="21"/>
      <c r="B100" s="17" t="s">
        <v>162</v>
      </c>
      <c r="C100" s="18">
        <v>1</v>
      </c>
      <c r="D100" s="19">
        <v>1</v>
      </c>
      <c r="E100" s="15">
        <v>5</v>
      </c>
      <c r="F100" s="15">
        <v>4</v>
      </c>
      <c r="G100" s="20">
        <v>1</v>
      </c>
      <c r="H100" s="21" t="s">
        <v>306</v>
      </c>
      <c r="I100" s="21" t="s">
        <v>310</v>
      </c>
      <c r="J100" s="21" t="s">
        <v>314</v>
      </c>
      <c r="K100" s="21" t="s">
        <v>38</v>
      </c>
      <c r="L100" s="21" t="s">
        <v>300</v>
      </c>
      <c r="M100" s="21" t="s">
        <v>308</v>
      </c>
      <c r="N100" s="21"/>
      <c r="O100" s="21"/>
      <c r="P100" s="21"/>
    </row>
    <row r="101" spans="1:16">
      <c r="A101" s="21"/>
      <c r="B101" s="17" t="s">
        <v>162</v>
      </c>
      <c r="C101" s="18">
        <v>1</v>
      </c>
      <c r="D101" s="19">
        <v>1</v>
      </c>
      <c r="E101" s="15">
        <v>5</v>
      </c>
      <c r="F101" s="15">
        <v>5</v>
      </c>
      <c r="G101" s="20">
        <v>1</v>
      </c>
      <c r="H101" s="21" t="s">
        <v>306</v>
      </c>
      <c r="I101" s="21" t="s">
        <v>310</v>
      </c>
      <c r="J101" s="21" t="s">
        <v>315</v>
      </c>
      <c r="K101" s="21" t="s">
        <v>38</v>
      </c>
      <c r="L101" s="21" t="s">
        <v>300</v>
      </c>
      <c r="M101" s="21" t="s">
        <v>308</v>
      </c>
      <c r="N101" s="21"/>
      <c r="O101" s="21"/>
      <c r="P101" s="21"/>
    </row>
    <row r="102" spans="1:16">
      <c r="A102" s="21"/>
      <c r="B102" s="17" t="s">
        <v>156</v>
      </c>
      <c r="C102" s="18">
        <v>1</v>
      </c>
      <c r="D102" s="19">
        <v>1</v>
      </c>
      <c r="E102" s="15">
        <v>5</v>
      </c>
      <c r="F102" s="15">
        <v>5</v>
      </c>
      <c r="G102" s="20">
        <v>1</v>
      </c>
      <c r="H102" s="21" t="s">
        <v>38</v>
      </c>
      <c r="I102" s="21" t="s">
        <v>310</v>
      </c>
      <c r="J102" s="21" t="s">
        <v>316</v>
      </c>
      <c r="K102" s="21" t="s">
        <v>38</v>
      </c>
      <c r="L102" s="21" t="s">
        <v>38</v>
      </c>
      <c r="M102" s="21"/>
      <c r="N102" s="21"/>
      <c r="O102" s="21"/>
      <c r="P102" s="21"/>
    </row>
    <row r="103" spans="1:16">
      <c r="A103" s="21"/>
      <c r="B103" s="17" t="s">
        <v>159</v>
      </c>
      <c r="C103" s="18">
        <v>1</v>
      </c>
      <c r="D103" s="19">
        <v>1</v>
      </c>
      <c r="E103" s="15">
        <v>5</v>
      </c>
      <c r="F103" s="15">
        <v>5</v>
      </c>
      <c r="G103" s="20">
        <v>1</v>
      </c>
      <c r="H103" s="21" t="s">
        <v>306</v>
      </c>
      <c r="I103" s="21" t="s">
        <v>310</v>
      </c>
      <c r="J103" s="21" t="s">
        <v>316</v>
      </c>
      <c r="K103" s="21" t="s">
        <v>38</v>
      </c>
      <c r="L103" s="21" t="s">
        <v>38</v>
      </c>
      <c r="M103" s="21"/>
      <c r="N103" s="21"/>
      <c r="O103" s="21"/>
      <c r="P103" s="21"/>
    </row>
    <row r="104" spans="1:16">
      <c r="A104" s="21"/>
      <c r="B104" s="17" t="s">
        <v>162</v>
      </c>
      <c r="C104" s="18">
        <v>1</v>
      </c>
      <c r="D104" s="19">
        <v>1</v>
      </c>
      <c r="E104" s="15">
        <v>5</v>
      </c>
      <c r="F104" s="15">
        <v>5</v>
      </c>
      <c r="G104" s="20">
        <v>1</v>
      </c>
      <c r="H104" s="21" t="s">
        <v>306</v>
      </c>
      <c r="I104" s="21" t="s">
        <v>310</v>
      </c>
      <c r="J104" s="21" t="s">
        <v>315</v>
      </c>
      <c r="K104" s="21" t="s">
        <v>38</v>
      </c>
      <c r="L104" s="21" t="s">
        <v>38</v>
      </c>
      <c r="M104" s="21" t="s">
        <v>308</v>
      </c>
      <c r="N104" s="21"/>
      <c r="O104" s="21"/>
      <c r="P104" s="21"/>
    </row>
    <row r="105" spans="1:16">
      <c r="A105" s="21"/>
      <c r="B105" s="17" t="s">
        <v>159</v>
      </c>
      <c r="C105" s="22">
        <v>1</v>
      </c>
      <c r="D105" s="19"/>
      <c r="E105" s="15">
        <v>5</v>
      </c>
      <c r="F105" s="15">
        <v>5</v>
      </c>
      <c r="G105" s="20"/>
      <c r="H105" s="21" t="s">
        <v>306</v>
      </c>
      <c r="I105" s="21" t="s">
        <v>310</v>
      </c>
      <c r="J105" s="21" t="s">
        <v>316</v>
      </c>
      <c r="K105" s="21" t="s">
        <v>38</v>
      </c>
      <c r="L105" s="21" t="s">
        <v>38</v>
      </c>
      <c r="M105" s="21"/>
      <c r="N105" s="21"/>
      <c r="O105" s="21"/>
      <c r="P105" s="21"/>
    </row>
    <row r="106" spans="1:16">
      <c r="A106" s="21"/>
      <c r="B106" s="17" t="s">
        <v>133</v>
      </c>
      <c r="C106" s="18">
        <v>1</v>
      </c>
      <c r="D106" s="19"/>
      <c r="E106" s="15">
        <v>5</v>
      </c>
      <c r="F106" s="15"/>
      <c r="G106" s="20"/>
      <c r="H106" s="21" t="s">
        <v>38</v>
      </c>
      <c r="I106" s="21" t="s">
        <v>310</v>
      </c>
      <c r="J106" s="21" t="s">
        <v>317</v>
      </c>
      <c r="K106" s="21" t="s">
        <v>38</v>
      </c>
      <c r="L106" s="21" t="s">
        <v>38</v>
      </c>
      <c r="M106" s="21"/>
      <c r="N106" s="21"/>
      <c r="O106" s="21"/>
      <c r="P106" s="21"/>
    </row>
    <row r="107" spans="1:16">
      <c r="A107" s="21"/>
      <c r="B107" s="17" t="s">
        <v>133</v>
      </c>
      <c r="C107" s="18">
        <v>1</v>
      </c>
      <c r="D107" s="19">
        <v>1</v>
      </c>
      <c r="E107" s="15">
        <v>5</v>
      </c>
      <c r="F107" s="15">
        <v>5</v>
      </c>
      <c r="G107" s="20">
        <v>1</v>
      </c>
      <c r="H107" s="21" t="s">
        <v>38</v>
      </c>
      <c r="I107" s="21" t="s">
        <v>310</v>
      </c>
      <c r="J107" s="21" t="s">
        <v>316</v>
      </c>
      <c r="K107" s="21" t="s">
        <v>38</v>
      </c>
      <c r="L107" s="21" t="s">
        <v>38</v>
      </c>
      <c r="M107" s="21"/>
      <c r="N107" s="21"/>
      <c r="O107" s="21"/>
      <c r="P107" s="21"/>
    </row>
    <row r="108" spans="1:16">
      <c r="A108" s="21"/>
      <c r="B108" s="17" t="s">
        <v>129</v>
      </c>
      <c r="C108" s="18">
        <v>3</v>
      </c>
      <c r="D108" s="19"/>
      <c r="E108" s="15">
        <v>5</v>
      </c>
      <c r="F108" s="15"/>
      <c r="G108" s="20"/>
      <c r="H108" s="21" t="s">
        <v>38</v>
      </c>
      <c r="I108" s="21" t="s">
        <v>310</v>
      </c>
      <c r="J108" s="21" t="s">
        <v>38</v>
      </c>
      <c r="K108" s="21" t="s">
        <v>38</v>
      </c>
      <c r="L108" s="21" t="s">
        <v>38</v>
      </c>
      <c r="M108" s="21"/>
      <c r="N108" s="21"/>
      <c r="O108" s="21"/>
      <c r="P108" s="21"/>
    </row>
    <row r="109" spans="1:16">
      <c r="A109" s="21"/>
      <c r="B109" s="17" t="s">
        <v>130</v>
      </c>
      <c r="C109" s="18">
        <v>3</v>
      </c>
      <c r="D109" s="19"/>
      <c r="E109" s="15">
        <v>5</v>
      </c>
      <c r="F109" s="15"/>
      <c r="G109" s="20"/>
      <c r="H109" s="21" t="s">
        <v>38</v>
      </c>
      <c r="I109" s="21" t="s">
        <v>310</v>
      </c>
      <c r="J109" s="21" t="s">
        <v>38</v>
      </c>
      <c r="K109" s="21" t="s">
        <v>38</v>
      </c>
      <c r="L109" s="21" t="s">
        <v>38</v>
      </c>
      <c r="M109" s="21"/>
      <c r="N109" s="21"/>
      <c r="O109" s="21"/>
      <c r="P109" s="21"/>
    </row>
    <row r="110" spans="1:16">
      <c r="A110" s="21"/>
      <c r="B110" s="17" t="s">
        <v>129</v>
      </c>
      <c r="C110" s="18">
        <v>22</v>
      </c>
      <c r="D110" s="19"/>
      <c r="E110" s="15">
        <v>5</v>
      </c>
      <c r="F110" s="15"/>
      <c r="G110" s="20"/>
      <c r="H110" s="21" t="s">
        <v>38</v>
      </c>
      <c r="I110" s="21" t="s">
        <v>38</v>
      </c>
      <c r="J110" s="21" t="s">
        <v>38</v>
      </c>
      <c r="K110" s="21" t="s">
        <v>38</v>
      </c>
      <c r="L110" s="21" t="s">
        <v>38</v>
      </c>
      <c r="M110" s="21"/>
      <c r="N110" s="21"/>
      <c r="O110" s="21"/>
      <c r="P110" s="21"/>
    </row>
    <row r="111" spans="1:16">
      <c r="A111" s="21"/>
      <c r="B111" s="17" t="s">
        <v>130</v>
      </c>
      <c r="C111" s="18">
        <v>22</v>
      </c>
      <c r="D111" s="19"/>
      <c r="E111" s="15">
        <v>5</v>
      </c>
      <c r="F111" s="15"/>
      <c r="G111" s="20"/>
      <c r="H111" s="21" t="s">
        <v>38</v>
      </c>
      <c r="I111" s="21" t="s">
        <v>38</v>
      </c>
      <c r="J111" s="21" t="s">
        <v>38</v>
      </c>
      <c r="K111" s="21" t="s">
        <v>38</v>
      </c>
      <c r="L111" s="21" t="s">
        <v>38</v>
      </c>
      <c r="M111" s="21"/>
      <c r="N111" s="21"/>
      <c r="O111" s="21"/>
      <c r="P111" s="21"/>
    </row>
    <row r="112" spans="1:16">
      <c r="A112" s="21"/>
      <c r="B112" s="17" t="s">
        <v>38</v>
      </c>
      <c r="C112" s="18">
        <v>0</v>
      </c>
      <c r="D112" s="19"/>
      <c r="E112" s="15"/>
      <c r="F112" s="15"/>
      <c r="G112" s="20"/>
      <c r="H112" s="21" t="s">
        <v>38</v>
      </c>
      <c r="I112" s="21" t="s">
        <v>38</v>
      </c>
      <c r="J112" s="21" t="s">
        <v>38</v>
      </c>
      <c r="K112" s="21" t="s">
        <v>38</v>
      </c>
      <c r="L112" s="21" t="s">
        <v>38</v>
      </c>
      <c r="M112" s="21"/>
      <c r="N112" s="21"/>
      <c r="O112" s="21"/>
      <c r="P112" s="21"/>
    </row>
    <row r="113" spans="1:16">
      <c r="A113" s="21"/>
      <c r="B113" s="17" t="s">
        <v>38</v>
      </c>
      <c r="C113" s="18">
        <v>0</v>
      </c>
      <c r="D113" s="19"/>
      <c r="E113" s="15"/>
      <c r="F113" s="15"/>
      <c r="G113" s="20"/>
      <c r="H113" s="21" t="s">
        <v>38</v>
      </c>
      <c r="I113" s="21" t="s">
        <v>38</v>
      </c>
      <c r="J113" s="21" t="s">
        <v>38</v>
      </c>
      <c r="K113" s="21" t="s">
        <v>38</v>
      </c>
      <c r="L113" s="21" t="s">
        <v>38</v>
      </c>
      <c r="M113" s="21"/>
      <c r="N113" s="21"/>
      <c r="O113" s="21"/>
      <c r="P113" s="21"/>
    </row>
    <row r="114" spans="1:16">
      <c r="A114" s="21"/>
      <c r="B114" s="17" t="s">
        <v>38</v>
      </c>
      <c r="C114" s="18">
        <v>0</v>
      </c>
      <c r="D114" s="19"/>
      <c r="E114" s="15"/>
      <c r="F114" s="15"/>
      <c r="G114" s="20"/>
      <c r="H114" s="21" t="s">
        <v>38</v>
      </c>
      <c r="I114" s="21" t="s">
        <v>38</v>
      </c>
      <c r="J114" s="21" t="s">
        <v>38</v>
      </c>
      <c r="K114" s="21" t="s">
        <v>38</v>
      </c>
      <c r="L114" s="21" t="s">
        <v>38</v>
      </c>
      <c r="M114" s="21"/>
      <c r="N114" s="21"/>
      <c r="O114" s="21"/>
      <c r="P114" s="21"/>
    </row>
    <row r="115" spans="1:16">
      <c r="A115" s="21"/>
      <c r="B115" s="17" t="s">
        <v>38</v>
      </c>
      <c r="C115" s="18">
        <v>0</v>
      </c>
      <c r="D115" s="19"/>
      <c r="E115" s="15"/>
      <c r="F115" s="15"/>
      <c r="G115" s="20"/>
      <c r="H115" s="21" t="s">
        <v>38</v>
      </c>
      <c r="I115" s="21" t="s">
        <v>38</v>
      </c>
      <c r="J115" s="21" t="s">
        <v>38</v>
      </c>
      <c r="K115" s="21" t="s">
        <v>38</v>
      </c>
      <c r="L115" s="21" t="s">
        <v>38</v>
      </c>
      <c r="M115" s="21"/>
      <c r="N115" s="21"/>
      <c r="O115" s="21"/>
      <c r="P115" s="21"/>
    </row>
    <row r="116" spans="1:16">
      <c r="A116" s="21"/>
      <c r="B116" s="17" t="s">
        <v>38</v>
      </c>
      <c r="C116" s="18">
        <v>0</v>
      </c>
      <c r="D116" s="19"/>
      <c r="E116" s="15"/>
      <c r="F116" s="15"/>
      <c r="G116" s="20"/>
      <c r="H116" s="21" t="s">
        <v>38</v>
      </c>
      <c r="I116" s="21" t="s">
        <v>38</v>
      </c>
      <c r="J116" s="21" t="s">
        <v>38</v>
      </c>
      <c r="K116" s="21" t="s">
        <v>38</v>
      </c>
      <c r="L116" s="21" t="s">
        <v>38</v>
      </c>
      <c r="M116" s="21"/>
      <c r="N116" s="21"/>
      <c r="O116" s="21"/>
      <c r="P116" s="21"/>
    </row>
    <row r="117" spans="1:16">
      <c r="A117" s="21"/>
      <c r="B117" s="17" t="s">
        <v>38</v>
      </c>
      <c r="C117" s="18">
        <v>0</v>
      </c>
      <c r="D117" s="19"/>
      <c r="E117" s="15"/>
      <c r="F117" s="15"/>
      <c r="G117" s="20"/>
      <c r="H117" s="21" t="s">
        <v>38</v>
      </c>
      <c r="I117" s="21" t="s">
        <v>38</v>
      </c>
      <c r="J117" s="21" t="s">
        <v>38</v>
      </c>
      <c r="K117" s="21" t="s">
        <v>38</v>
      </c>
      <c r="L117" s="21" t="s">
        <v>38</v>
      </c>
      <c r="M117" s="21"/>
      <c r="N117" s="21"/>
      <c r="O117" s="21"/>
      <c r="P117" s="21"/>
    </row>
    <row r="118" spans="1:16">
      <c r="A118" s="21"/>
      <c r="B118" s="17" t="s">
        <v>38</v>
      </c>
      <c r="C118" s="18">
        <v>0</v>
      </c>
      <c r="D118" s="19"/>
      <c r="E118" s="15"/>
      <c r="F118" s="15"/>
      <c r="G118" s="20"/>
      <c r="H118" s="21" t="s">
        <v>38</v>
      </c>
      <c r="I118" s="21" t="s">
        <v>38</v>
      </c>
      <c r="J118" s="21" t="s">
        <v>38</v>
      </c>
      <c r="K118" s="21" t="s">
        <v>38</v>
      </c>
      <c r="L118" s="21" t="s">
        <v>38</v>
      </c>
      <c r="M118" s="21"/>
      <c r="N118" s="21"/>
      <c r="O118" s="21"/>
      <c r="P118" s="21"/>
    </row>
    <row r="119" spans="1:16">
      <c r="A119" s="21"/>
      <c r="B119" s="17" t="s">
        <v>38</v>
      </c>
      <c r="C119" s="18">
        <v>0</v>
      </c>
      <c r="D119" s="19"/>
      <c r="E119" s="15"/>
      <c r="F119" s="15"/>
      <c r="G119" s="20"/>
      <c r="H119" s="21" t="s">
        <v>38</v>
      </c>
      <c r="I119" s="21" t="s">
        <v>38</v>
      </c>
      <c r="J119" s="21" t="s">
        <v>38</v>
      </c>
      <c r="K119" s="21" t="s">
        <v>38</v>
      </c>
      <c r="L119" s="21" t="s">
        <v>38</v>
      </c>
      <c r="M119" s="21"/>
      <c r="N119" s="21"/>
      <c r="O119" s="21"/>
      <c r="P119" s="21"/>
    </row>
    <row r="120" spans="1:16">
      <c r="A120" s="21"/>
      <c r="B120" s="17" t="s">
        <v>38</v>
      </c>
      <c r="C120" s="18">
        <v>0</v>
      </c>
      <c r="D120" s="19"/>
      <c r="E120" s="15"/>
      <c r="F120" s="15"/>
      <c r="G120" s="20"/>
      <c r="H120" s="21" t="s">
        <v>38</v>
      </c>
      <c r="I120" s="21" t="s">
        <v>38</v>
      </c>
      <c r="J120" s="21" t="s">
        <v>38</v>
      </c>
      <c r="K120" s="21" t="s">
        <v>38</v>
      </c>
      <c r="L120" s="21" t="s">
        <v>38</v>
      </c>
      <c r="M120" s="21"/>
      <c r="N120" s="21"/>
      <c r="O120" s="21"/>
      <c r="P120" s="21"/>
    </row>
    <row r="121" spans="1:16">
      <c r="A121" s="21"/>
      <c r="B121" s="17" t="s">
        <v>38</v>
      </c>
      <c r="C121" s="18">
        <v>0</v>
      </c>
      <c r="D121" s="19"/>
      <c r="E121" s="15"/>
      <c r="F121" s="15"/>
      <c r="G121" s="20"/>
      <c r="H121" s="21" t="s">
        <v>38</v>
      </c>
      <c r="I121" s="21" t="s">
        <v>38</v>
      </c>
      <c r="J121" s="21" t="s">
        <v>38</v>
      </c>
      <c r="K121" s="21" t="s">
        <v>38</v>
      </c>
      <c r="L121" s="21" t="s">
        <v>38</v>
      </c>
      <c r="M121" s="21"/>
      <c r="N121" s="21"/>
      <c r="O121" s="21"/>
      <c r="P121" s="21"/>
    </row>
    <row r="122" spans="1:16">
      <c r="A122" s="21"/>
      <c r="B122" s="17" t="s">
        <v>38</v>
      </c>
      <c r="C122" s="18">
        <v>0</v>
      </c>
      <c r="D122" s="19"/>
      <c r="E122" s="15"/>
      <c r="F122" s="15"/>
      <c r="G122" s="20"/>
      <c r="H122" s="21" t="s">
        <v>38</v>
      </c>
      <c r="I122" s="21" t="s">
        <v>38</v>
      </c>
      <c r="J122" s="21" t="s">
        <v>38</v>
      </c>
      <c r="K122" s="21" t="s">
        <v>38</v>
      </c>
      <c r="L122" s="21" t="s">
        <v>38</v>
      </c>
      <c r="M122" s="21"/>
      <c r="N122" s="21"/>
      <c r="O122" s="21"/>
      <c r="P122" s="21"/>
    </row>
    <row r="123" spans="1:16">
      <c r="A123" s="21"/>
      <c r="B123" s="17" t="s">
        <v>38</v>
      </c>
      <c r="C123" s="18">
        <v>0</v>
      </c>
      <c r="D123" s="19"/>
      <c r="E123" s="15"/>
      <c r="F123" s="15"/>
      <c r="G123" s="20"/>
      <c r="H123" s="21" t="s">
        <v>38</v>
      </c>
      <c r="I123" s="21" t="s">
        <v>38</v>
      </c>
      <c r="J123" s="21" t="s">
        <v>38</v>
      </c>
      <c r="K123" s="21" t="s">
        <v>38</v>
      </c>
      <c r="L123" s="21" t="s">
        <v>38</v>
      </c>
      <c r="M123" s="21"/>
      <c r="N123" s="21"/>
      <c r="O123" s="21"/>
      <c r="P123" s="21"/>
    </row>
    <row r="124" spans="1:16">
      <c r="A124" s="21"/>
      <c r="B124" s="17" t="s">
        <v>38</v>
      </c>
      <c r="C124" s="18">
        <v>0</v>
      </c>
      <c r="D124" s="19"/>
      <c r="E124" s="15"/>
      <c r="F124" s="15"/>
      <c r="G124" s="20"/>
      <c r="H124" s="21" t="s">
        <v>38</v>
      </c>
      <c r="I124" s="21" t="s">
        <v>38</v>
      </c>
      <c r="J124" s="21" t="s">
        <v>38</v>
      </c>
      <c r="K124" s="21" t="s">
        <v>38</v>
      </c>
      <c r="L124" s="21" t="s">
        <v>38</v>
      </c>
      <c r="M124" s="21"/>
      <c r="N124" s="21"/>
      <c r="O124" s="21"/>
      <c r="P124" s="21"/>
    </row>
    <row r="125" spans="1:16">
      <c r="A125" s="21"/>
      <c r="B125" s="17" t="s">
        <v>38</v>
      </c>
      <c r="C125" s="18">
        <v>0</v>
      </c>
      <c r="D125" s="19"/>
      <c r="E125" s="15"/>
      <c r="F125" s="15"/>
      <c r="G125" s="20"/>
      <c r="H125" s="21" t="s">
        <v>38</v>
      </c>
      <c r="I125" s="21" t="s">
        <v>38</v>
      </c>
      <c r="J125" s="21" t="s">
        <v>38</v>
      </c>
      <c r="K125" s="21" t="s">
        <v>38</v>
      </c>
      <c r="L125" s="21" t="s">
        <v>38</v>
      </c>
      <c r="M125" s="21"/>
      <c r="N125" s="21"/>
      <c r="O125" s="21"/>
      <c r="P125" s="21"/>
    </row>
    <row r="126" spans="1:16">
      <c r="A126" s="21"/>
      <c r="B126" s="17" t="s">
        <v>38</v>
      </c>
      <c r="C126" s="18">
        <v>0</v>
      </c>
      <c r="D126" s="19"/>
      <c r="E126" s="15"/>
      <c r="F126" s="15"/>
      <c r="G126" s="20"/>
      <c r="H126" s="21" t="s">
        <v>38</v>
      </c>
      <c r="I126" s="21" t="s">
        <v>38</v>
      </c>
      <c r="J126" s="21" t="s">
        <v>38</v>
      </c>
      <c r="K126" s="21" t="s">
        <v>38</v>
      </c>
      <c r="L126" s="21" t="s">
        <v>38</v>
      </c>
      <c r="M126" s="21"/>
      <c r="N126" s="21"/>
      <c r="O126" s="21"/>
      <c r="P126" s="21"/>
    </row>
    <row r="127" spans="1:16">
      <c r="A127" s="21"/>
      <c r="B127" s="17" t="s">
        <v>38</v>
      </c>
      <c r="C127" s="18">
        <v>0</v>
      </c>
      <c r="D127" s="19"/>
      <c r="E127" s="15"/>
      <c r="F127" s="15"/>
      <c r="G127" s="20"/>
      <c r="H127" s="21" t="s">
        <v>38</v>
      </c>
      <c r="I127" s="21" t="s">
        <v>38</v>
      </c>
      <c r="J127" s="21" t="s">
        <v>38</v>
      </c>
      <c r="K127" s="21" t="s">
        <v>38</v>
      </c>
      <c r="L127" s="21" t="s">
        <v>38</v>
      </c>
      <c r="M127" s="21"/>
      <c r="N127" s="21"/>
      <c r="O127" s="21"/>
      <c r="P127" s="21"/>
    </row>
    <row r="128" spans="1:16">
      <c r="A128" s="21"/>
      <c r="B128" s="17" t="s">
        <v>38</v>
      </c>
      <c r="C128" s="18">
        <v>0</v>
      </c>
      <c r="D128" s="19"/>
      <c r="E128" s="15"/>
      <c r="F128" s="15"/>
      <c r="G128" s="20"/>
      <c r="H128" s="21" t="s">
        <v>38</v>
      </c>
      <c r="I128" s="21" t="s">
        <v>38</v>
      </c>
      <c r="J128" s="21" t="s">
        <v>38</v>
      </c>
      <c r="K128" s="21" t="s">
        <v>38</v>
      </c>
      <c r="L128" s="21" t="s">
        <v>38</v>
      </c>
      <c r="M128" s="21"/>
      <c r="N128" s="21"/>
      <c r="O128" s="21"/>
      <c r="P128" s="21"/>
    </row>
    <row r="129" spans="1:16">
      <c r="A129" s="21"/>
      <c r="B129" s="17" t="s">
        <v>38</v>
      </c>
      <c r="C129" s="18">
        <v>0</v>
      </c>
      <c r="D129" s="19"/>
      <c r="E129" s="15"/>
      <c r="F129" s="15"/>
      <c r="G129" s="20"/>
      <c r="H129" s="21" t="s">
        <v>38</v>
      </c>
      <c r="I129" s="21" t="s">
        <v>38</v>
      </c>
      <c r="J129" s="21" t="s">
        <v>38</v>
      </c>
      <c r="K129" s="21" t="s">
        <v>38</v>
      </c>
      <c r="L129" s="21" t="s">
        <v>38</v>
      </c>
      <c r="M129" s="21"/>
      <c r="N129" s="21"/>
      <c r="O129" s="21"/>
      <c r="P129" s="21"/>
    </row>
    <row r="130" spans="1:16">
      <c r="A130" s="21"/>
      <c r="B130" s="17" t="s">
        <v>38</v>
      </c>
      <c r="C130" s="18">
        <v>0</v>
      </c>
      <c r="D130" s="19"/>
      <c r="E130" s="15"/>
      <c r="F130" s="15"/>
      <c r="G130" s="20"/>
      <c r="H130" s="21" t="s">
        <v>38</v>
      </c>
      <c r="I130" s="21" t="s">
        <v>38</v>
      </c>
      <c r="J130" s="21" t="s">
        <v>38</v>
      </c>
      <c r="K130" s="21" t="s">
        <v>38</v>
      </c>
      <c r="L130" s="21" t="s">
        <v>38</v>
      </c>
      <c r="M130" s="21"/>
      <c r="N130" s="21"/>
      <c r="O130" s="21"/>
      <c r="P130" s="21"/>
    </row>
    <row r="131" spans="1:16">
      <c r="A131" s="21"/>
      <c r="B131" s="17" t="s">
        <v>38</v>
      </c>
      <c r="C131" s="18">
        <v>0</v>
      </c>
      <c r="D131" s="19"/>
      <c r="E131" s="15"/>
      <c r="F131" s="15"/>
      <c r="G131" s="20"/>
      <c r="H131" s="21" t="s">
        <v>38</v>
      </c>
      <c r="I131" s="21" t="s">
        <v>38</v>
      </c>
      <c r="J131" s="21" t="s">
        <v>38</v>
      </c>
      <c r="K131" s="21" t="s">
        <v>38</v>
      </c>
      <c r="L131" s="21" t="s">
        <v>38</v>
      </c>
      <c r="M131" s="21"/>
      <c r="N131" s="21"/>
      <c r="O131" s="21"/>
      <c r="P131" s="21"/>
    </row>
    <row r="132" spans="1:16">
      <c r="A132" s="21"/>
      <c r="B132" s="17" t="s">
        <v>38</v>
      </c>
      <c r="C132" s="18">
        <v>0</v>
      </c>
      <c r="D132" s="19"/>
      <c r="E132" s="15"/>
      <c r="F132" s="15"/>
      <c r="G132" s="20"/>
      <c r="H132" s="21" t="s">
        <v>38</v>
      </c>
      <c r="I132" s="21" t="s">
        <v>38</v>
      </c>
      <c r="J132" s="21" t="s">
        <v>38</v>
      </c>
      <c r="K132" s="21" t="s">
        <v>38</v>
      </c>
      <c r="L132" s="21" t="s">
        <v>38</v>
      </c>
      <c r="M132" s="21"/>
      <c r="N132" s="21"/>
      <c r="O132" s="21"/>
      <c r="P132" s="21"/>
    </row>
    <row r="133" spans="1:16">
      <c r="A133" s="21"/>
      <c r="B133" s="17" t="s">
        <v>38</v>
      </c>
      <c r="C133" s="18">
        <v>0</v>
      </c>
      <c r="D133" s="19"/>
      <c r="E133" s="15"/>
      <c r="F133" s="15"/>
      <c r="G133" s="20"/>
      <c r="H133" s="21" t="s">
        <v>38</v>
      </c>
      <c r="I133" s="21" t="s">
        <v>38</v>
      </c>
      <c r="J133" s="21" t="s">
        <v>38</v>
      </c>
      <c r="K133" s="21" t="s">
        <v>38</v>
      </c>
      <c r="L133" s="21" t="s">
        <v>38</v>
      </c>
      <c r="M133" s="21"/>
      <c r="N133" s="21"/>
      <c r="O133" s="21"/>
      <c r="P133" s="21"/>
    </row>
    <row r="134" spans="1:16">
      <c r="A134" s="21"/>
      <c r="B134" s="17" t="s">
        <v>38</v>
      </c>
      <c r="C134" s="18">
        <v>0</v>
      </c>
      <c r="D134" s="19"/>
      <c r="E134" s="15"/>
      <c r="F134" s="15"/>
      <c r="G134" s="20"/>
      <c r="H134" s="21" t="s">
        <v>38</v>
      </c>
      <c r="I134" s="21" t="s">
        <v>38</v>
      </c>
      <c r="J134" s="21" t="s">
        <v>38</v>
      </c>
      <c r="K134" s="21" t="s">
        <v>38</v>
      </c>
      <c r="L134" s="21" t="s">
        <v>38</v>
      </c>
      <c r="M134" s="21"/>
      <c r="N134" s="21"/>
      <c r="O134" s="21"/>
      <c r="P134" s="21"/>
    </row>
    <row r="135" spans="1:16">
      <c r="A135" s="21"/>
      <c r="B135" s="17" t="s">
        <v>38</v>
      </c>
      <c r="C135" s="18">
        <v>0</v>
      </c>
      <c r="D135" s="19"/>
      <c r="E135" s="15"/>
      <c r="F135" s="15"/>
      <c r="G135" s="20"/>
      <c r="H135" s="21" t="s">
        <v>38</v>
      </c>
      <c r="I135" s="21" t="s">
        <v>38</v>
      </c>
      <c r="J135" s="21" t="s">
        <v>38</v>
      </c>
      <c r="K135" s="21" t="s">
        <v>38</v>
      </c>
      <c r="L135" s="21" t="s">
        <v>38</v>
      </c>
      <c r="M135" s="21"/>
      <c r="N135" s="21"/>
      <c r="O135" s="21"/>
      <c r="P135" s="21"/>
    </row>
    <row r="136" spans="1:16">
      <c r="A136" s="21"/>
      <c r="B136" s="17" t="s">
        <v>38</v>
      </c>
      <c r="C136" s="18">
        <v>0</v>
      </c>
      <c r="D136" s="19"/>
      <c r="E136" s="15"/>
      <c r="F136" s="15"/>
      <c r="G136" s="20"/>
      <c r="H136" s="21" t="s">
        <v>38</v>
      </c>
      <c r="I136" s="21" t="s">
        <v>38</v>
      </c>
      <c r="J136" s="21" t="s">
        <v>38</v>
      </c>
      <c r="K136" s="21" t="s">
        <v>38</v>
      </c>
      <c r="L136" s="21" t="s">
        <v>38</v>
      </c>
      <c r="M136" s="21"/>
      <c r="N136" s="21"/>
      <c r="O136" s="21"/>
      <c r="P136" s="21"/>
    </row>
    <row r="137" spans="1:16">
      <c r="A137" s="21"/>
      <c r="B137" s="17" t="s">
        <v>38</v>
      </c>
      <c r="C137" s="18">
        <v>0</v>
      </c>
      <c r="D137" s="19"/>
      <c r="E137" s="15"/>
      <c r="F137" s="15"/>
      <c r="G137" s="20"/>
      <c r="H137" s="21" t="s">
        <v>38</v>
      </c>
      <c r="I137" s="21" t="s">
        <v>38</v>
      </c>
      <c r="J137" s="21" t="s">
        <v>38</v>
      </c>
      <c r="K137" s="21" t="s">
        <v>38</v>
      </c>
      <c r="L137" s="21" t="s">
        <v>38</v>
      </c>
      <c r="M137" s="21"/>
      <c r="N137" s="21"/>
      <c r="O137" s="21"/>
      <c r="P137" s="21"/>
    </row>
    <row r="138" spans="1:16">
      <c r="A138" s="21"/>
      <c r="B138" s="17" t="s">
        <v>38</v>
      </c>
      <c r="C138" s="18">
        <v>0</v>
      </c>
      <c r="D138" s="19"/>
      <c r="E138" s="15"/>
      <c r="F138" s="15"/>
      <c r="G138" s="20"/>
      <c r="H138" s="21" t="s">
        <v>38</v>
      </c>
      <c r="I138" s="21" t="s">
        <v>38</v>
      </c>
      <c r="J138" s="21" t="s">
        <v>38</v>
      </c>
      <c r="K138" s="21" t="s">
        <v>38</v>
      </c>
      <c r="L138" s="21" t="s">
        <v>38</v>
      </c>
      <c r="M138" s="21"/>
      <c r="N138" s="21"/>
      <c r="O138" s="21"/>
      <c r="P138" s="21"/>
    </row>
    <row r="139" spans="1:16">
      <c r="A139" s="21"/>
      <c r="B139" s="17" t="s">
        <v>38</v>
      </c>
      <c r="C139" s="18">
        <v>0</v>
      </c>
      <c r="D139" s="19"/>
      <c r="E139" s="15"/>
      <c r="F139" s="15"/>
      <c r="G139" s="20"/>
      <c r="H139" s="21" t="s">
        <v>38</v>
      </c>
      <c r="I139" s="21" t="s">
        <v>38</v>
      </c>
      <c r="J139" s="21" t="s">
        <v>38</v>
      </c>
      <c r="K139" s="21" t="s">
        <v>38</v>
      </c>
      <c r="L139" s="21" t="s">
        <v>38</v>
      </c>
      <c r="M139" s="21"/>
      <c r="N139" s="21"/>
      <c r="O139" s="21"/>
      <c r="P139" s="21"/>
    </row>
    <row r="140" spans="1:16">
      <c r="A140" s="21"/>
      <c r="B140" s="17" t="s">
        <v>38</v>
      </c>
      <c r="C140" s="18">
        <v>0</v>
      </c>
      <c r="D140" s="19"/>
      <c r="E140" s="15"/>
      <c r="F140" s="15"/>
      <c r="G140" s="20"/>
      <c r="H140" s="21" t="s">
        <v>38</v>
      </c>
      <c r="I140" s="21" t="s">
        <v>38</v>
      </c>
      <c r="J140" s="21" t="s">
        <v>38</v>
      </c>
      <c r="K140" s="21" t="s">
        <v>38</v>
      </c>
      <c r="L140" s="21" t="s">
        <v>38</v>
      </c>
      <c r="M140" s="21"/>
      <c r="N140" s="21"/>
      <c r="O140" s="21"/>
      <c r="P140" s="21"/>
    </row>
    <row r="141" spans="1:16">
      <c r="A141" s="21"/>
      <c r="B141" s="17" t="s">
        <v>38</v>
      </c>
      <c r="C141" s="18">
        <v>0</v>
      </c>
      <c r="D141" s="19"/>
      <c r="E141" s="15"/>
      <c r="F141" s="15"/>
      <c r="G141" s="20"/>
      <c r="H141" s="21" t="s">
        <v>38</v>
      </c>
      <c r="I141" s="21" t="s">
        <v>38</v>
      </c>
      <c r="J141" s="21" t="s">
        <v>38</v>
      </c>
      <c r="K141" s="21" t="s">
        <v>38</v>
      </c>
      <c r="L141" s="21" t="s">
        <v>38</v>
      </c>
      <c r="M141" s="21"/>
      <c r="N141" s="21"/>
      <c r="O141" s="21"/>
      <c r="P141" s="21"/>
    </row>
    <row r="142" spans="1:16">
      <c r="A142" s="21"/>
      <c r="B142" s="17" t="s">
        <v>38</v>
      </c>
      <c r="C142" s="18">
        <v>0</v>
      </c>
      <c r="D142" s="19"/>
      <c r="E142" s="15"/>
      <c r="F142" s="15"/>
      <c r="G142" s="20"/>
      <c r="H142" s="21" t="s">
        <v>38</v>
      </c>
      <c r="I142" s="21" t="s">
        <v>38</v>
      </c>
      <c r="J142" s="21" t="s">
        <v>38</v>
      </c>
      <c r="K142" s="21" t="s">
        <v>38</v>
      </c>
      <c r="L142" s="21" t="s">
        <v>38</v>
      </c>
      <c r="M142" s="21"/>
      <c r="N142" s="21"/>
      <c r="O142" s="21"/>
      <c r="P142" s="21"/>
    </row>
    <row r="143" spans="1:16">
      <c r="A143" s="21"/>
      <c r="B143" s="17" t="s">
        <v>38</v>
      </c>
      <c r="C143" s="18">
        <v>0</v>
      </c>
      <c r="D143" s="19"/>
      <c r="E143" s="15"/>
      <c r="F143" s="15"/>
      <c r="G143" s="20"/>
      <c r="H143" s="21" t="s">
        <v>38</v>
      </c>
      <c r="I143" s="21" t="s">
        <v>38</v>
      </c>
      <c r="J143" s="21" t="s">
        <v>38</v>
      </c>
      <c r="K143" s="21" t="s">
        <v>38</v>
      </c>
      <c r="L143" s="21" t="s">
        <v>38</v>
      </c>
      <c r="M143" s="21"/>
      <c r="N143" s="21"/>
      <c r="O143" s="21"/>
      <c r="P143" s="21"/>
    </row>
    <row r="144" spans="1:16">
      <c r="A144" s="21"/>
      <c r="B144" s="17" t="s">
        <v>38</v>
      </c>
      <c r="C144" s="18">
        <v>0</v>
      </c>
      <c r="D144" s="19"/>
      <c r="E144" s="15"/>
      <c r="F144" s="15"/>
      <c r="G144" s="20"/>
      <c r="H144" s="21" t="s">
        <v>38</v>
      </c>
      <c r="I144" s="21" t="s">
        <v>38</v>
      </c>
      <c r="J144" s="21" t="s">
        <v>38</v>
      </c>
      <c r="K144" s="21" t="s">
        <v>38</v>
      </c>
      <c r="L144" s="21" t="s">
        <v>38</v>
      </c>
      <c r="M144" s="21"/>
      <c r="N144" s="21"/>
      <c r="O144" s="21"/>
      <c r="P144" s="21"/>
    </row>
    <row r="145" spans="1:16">
      <c r="A145" s="21"/>
      <c r="B145" s="17" t="s">
        <v>38</v>
      </c>
      <c r="C145" s="18">
        <v>0</v>
      </c>
      <c r="D145" s="19"/>
      <c r="E145" s="15"/>
      <c r="F145" s="15"/>
      <c r="G145" s="20"/>
      <c r="H145" s="21" t="s">
        <v>38</v>
      </c>
      <c r="I145" s="21" t="s">
        <v>38</v>
      </c>
      <c r="J145" s="21" t="s">
        <v>38</v>
      </c>
      <c r="K145" s="21" t="s">
        <v>38</v>
      </c>
      <c r="L145" s="21" t="s">
        <v>38</v>
      </c>
      <c r="M145" s="21"/>
      <c r="N145" s="21"/>
      <c r="O145" s="21"/>
      <c r="P145" s="21"/>
    </row>
    <row r="146" spans="1:16">
      <c r="A146" s="21"/>
      <c r="B146" s="17" t="s">
        <v>38</v>
      </c>
      <c r="C146" s="18">
        <v>0</v>
      </c>
      <c r="D146" s="19"/>
      <c r="E146" s="15"/>
      <c r="F146" s="15"/>
      <c r="G146" s="20"/>
      <c r="H146" s="21" t="s">
        <v>38</v>
      </c>
      <c r="I146" s="21" t="s">
        <v>38</v>
      </c>
      <c r="J146" s="21" t="s">
        <v>38</v>
      </c>
      <c r="K146" s="21" t="s">
        <v>38</v>
      </c>
      <c r="L146" s="21" t="s">
        <v>38</v>
      </c>
      <c r="M146" s="21"/>
      <c r="N146" s="21"/>
      <c r="O146" s="21"/>
      <c r="P146" s="21"/>
    </row>
    <row r="147" spans="1:16">
      <c r="A147" s="21"/>
      <c r="B147" s="17" t="s">
        <v>38</v>
      </c>
      <c r="C147" s="18">
        <v>0</v>
      </c>
      <c r="D147" s="19"/>
      <c r="E147" s="15"/>
      <c r="F147" s="15"/>
      <c r="G147" s="20"/>
      <c r="H147" s="21" t="s">
        <v>38</v>
      </c>
      <c r="I147" s="21" t="s">
        <v>38</v>
      </c>
      <c r="J147" s="21" t="s">
        <v>38</v>
      </c>
      <c r="K147" s="21" t="s">
        <v>38</v>
      </c>
      <c r="L147" s="21" t="s">
        <v>38</v>
      </c>
      <c r="M147" s="21"/>
      <c r="N147" s="21"/>
      <c r="O147" s="21"/>
      <c r="P147" s="21"/>
    </row>
    <row r="148" spans="1:16">
      <c r="A148" s="21"/>
      <c r="B148" s="17" t="s">
        <v>38</v>
      </c>
      <c r="C148" s="18">
        <v>0</v>
      </c>
      <c r="D148" s="19"/>
      <c r="E148" s="15"/>
      <c r="F148" s="15"/>
      <c r="G148" s="20"/>
      <c r="H148" s="21" t="s">
        <v>38</v>
      </c>
      <c r="I148" s="21" t="s">
        <v>38</v>
      </c>
      <c r="J148" s="21" t="s">
        <v>38</v>
      </c>
      <c r="K148" s="21" t="s">
        <v>38</v>
      </c>
      <c r="L148" s="21" t="s">
        <v>38</v>
      </c>
      <c r="M148" s="21"/>
      <c r="N148" s="21"/>
      <c r="O148" s="21"/>
      <c r="P148" s="21"/>
    </row>
    <row r="149" spans="1:16">
      <c r="A149" s="21"/>
      <c r="B149" s="17" t="s">
        <v>38</v>
      </c>
      <c r="C149" s="18">
        <v>0</v>
      </c>
      <c r="D149" s="19"/>
      <c r="E149" s="15"/>
      <c r="F149" s="15"/>
      <c r="G149" s="20"/>
      <c r="H149" s="21" t="s">
        <v>38</v>
      </c>
      <c r="I149" s="21" t="s">
        <v>38</v>
      </c>
      <c r="J149" s="21" t="s">
        <v>38</v>
      </c>
      <c r="K149" s="21" t="s">
        <v>38</v>
      </c>
      <c r="L149" s="21" t="s">
        <v>38</v>
      </c>
      <c r="M149" s="21"/>
      <c r="N149" s="21"/>
      <c r="O149" s="21"/>
      <c r="P149" s="21"/>
    </row>
    <row r="150" spans="1:16">
      <c r="A150" s="21"/>
      <c r="B150" s="17" t="s">
        <v>38</v>
      </c>
      <c r="C150" s="18">
        <v>0</v>
      </c>
      <c r="D150" s="19"/>
      <c r="E150" s="15"/>
      <c r="F150" s="15"/>
      <c r="G150" s="20"/>
      <c r="H150" s="21" t="s">
        <v>38</v>
      </c>
      <c r="I150" s="21" t="s">
        <v>38</v>
      </c>
      <c r="J150" s="21" t="s">
        <v>38</v>
      </c>
      <c r="K150" s="21" t="s">
        <v>38</v>
      </c>
      <c r="L150" s="21" t="s">
        <v>38</v>
      </c>
      <c r="M150" s="21"/>
      <c r="N150" s="21"/>
      <c r="O150" s="21"/>
      <c r="P150" s="21"/>
    </row>
    <row r="151" spans="1:16">
      <c r="A151" s="21"/>
      <c r="B151" s="17" t="s">
        <v>38</v>
      </c>
      <c r="C151" s="18">
        <v>0</v>
      </c>
      <c r="D151" s="19"/>
      <c r="E151" s="15"/>
      <c r="F151" s="15"/>
      <c r="G151" s="20"/>
      <c r="H151" s="21" t="s">
        <v>38</v>
      </c>
      <c r="I151" s="21" t="s">
        <v>38</v>
      </c>
      <c r="J151" s="21" t="s">
        <v>38</v>
      </c>
      <c r="K151" s="21" t="s">
        <v>38</v>
      </c>
      <c r="L151" s="21" t="s">
        <v>38</v>
      </c>
      <c r="M151" s="21"/>
      <c r="N151" s="21"/>
      <c r="O151" s="21"/>
      <c r="P151" s="21"/>
    </row>
    <row r="152" spans="1:16">
      <c r="A152" s="21"/>
      <c r="B152" s="17" t="s">
        <v>38</v>
      </c>
      <c r="C152" s="18">
        <v>0</v>
      </c>
      <c r="D152" s="19"/>
      <c r="E152" s="15"/>
      <c r="F152" s="15"/>
      <c r="G152" s="20"/>
      <c r="H152" s="21" t="s">
        <v>38</v>
      </c>
      <c r="I152" s="21" t="s">
        <v>38</v>
      </c>
      <c r="J152" s="21" t="s">
        <v>38</v>
      </c>
      <c r="K152" s="21" t="s">
        <v>38</v>
      </c>
      <c r="L152" s="21" t="s">
        <v>38</v>
      </c>
      <c r="M152" s="21"/>
      <c r="N152" s="21"/>
      <c r="O152" s="21"/>
      <c r="P152" s="21"/>
    </row>
    <row r="153" spans="1:16">
      <c r="A153" s="21"/>
      <c r="B153" s="17" t="s">
        <v>38</v>
      </c>
      <c r="C153" s="18">
        <v>0</v>
      </c>
      <c r="D153" s="19"/>
      <c r="E153" s="15"/>
      <c r="F153" s="15"/>
      <c r="G153" s="20"/>
      <c r="H153" s="21" t="s">
        <v>38</v>
      </c>
      <c r="I153" s="21" t="s">
        <v>38</v>
      </c>
      <c r="J153" s="21" t="s">
        <v>38</v>
      </c>
      <c r="K153" s="21" t="s">
        <v>38</v>
      </c>
      <c r="L153" s="21" t="s">
        <v>38</v>
      </c>
      <c r="M153" s="21"/>
      <c r="N153" s="21"/>
      <c r="O153" s="21"/>
      <c r="P153" s="21"/>
    </row>
    <row r="154" spans="1:16">
      <c r="A154" s="21"/>
      <c r="B154" s="17" t="s">
        <v>38</v>
      </c>
      <c r="C154" s="18">
        <v>0</v>
      </c>
      <c r="D154" s="19"/>
      <c r="E154" s="15"/>
      <c r="F154" s="15"/>
      <c r="G154" s="20"/>
      <c r="H154" s="21" t="s">
        <v>38</v>
      </c>
      <c r="I154" s="21" t="s">
        <v>38</v>
      </c>
      <c r="J154" s="21" t="s">
        <v>38</v>
      </c>
      <c r="K154" s="21" t="s">
        <v>38</v>
      </c>
      <c r="L154" s="21" t="s">
        <v>38</v>
      </c>
      <c r="M154" s="21"/>
      <c r="N154" s="21"/>
      <c r="O154" s="21"/>
      <c r="P154" s="21"/>
    </row>
    <row r="155" spans="1:16">
      <c r="A155" s="21"/>
      <c r="B155" s="17" t="s">
        <v>38</v>
      </c>
      <c r="C155" s="18">
        <v>0</v>
      </c>
      <c r="D155" s="19"/>
      <c r="E155" s="15"/>
      <c r="F155" s="15"/>
      <c r="G155" s="20"/>
      <c r="H155" s="21" t="s">
        <v>38</v>
      </c>
      <c r="I155" s="21" t="s">
        <v>38</v>
      </c>
      <c r="J155" s="21" t="s">
        <v>38</v>
      </c>
      <c r="K155" s="21" t="s">
        <v>38</v>
      </c>
      <c r="L155" s="21" t="s">
        <v>38</v>
      </c>
      <c r="M155" s="21"/>
      <c r="N155" s="21"/>
      <c r="O155" s="21"/>
      <c r="P155" s="21"/>
    </row>
    <row r="156" spans="1:16">
      <c r="A156" s="21"/>
      <c r="B156" s="17" t="s">
        <v>38</v>
      </c>
      <c r="C156" s="18">
        <v>0</v>
      </c>
      <c r="D156" s="19"/>
      <c r="E156" s="15"/>
      <c r="F156" s="15"/>
      <c r="G156" s="20"/>
      <c r="H156" s="21" t="s">
        <v>38</v>
      </c>
      <c r="I156" s="21" t="s">
        <v>38</v>
      </c>
      <c r="J156" s="21" t="s">
        <v>38</v>
      </c>
      <c r="K156" s="21" t="s">
        <v>38</v>
      </c>
      <c r="L156" s="21" t="s">
        <v>38</v>
      </c>
      <c r="M156" s="21"/>
      <c r="N156" s="21"/>
      <c r="O156" s="21"/>
      <c r="P156" s="21"/>
    </row>
    <row r="157" spans="1:16">
      <c r="A157" s="21"/>
      <c r="B157" s="17" t="s">
        <v>38</v>
      </c>
      <c r="C157" s="18">
        <v>0</v>
      </c>
      <c r="D157" s="19"/>
      <c r="E157" s="15"/>
      <c r="F157" s="15"/>
      <c r="G157" s="20"/>
      <c r="H157" s="21" t="s">
        <v>38</v>
      </c>
      <c r="I157" s="21" t="s">
        <v>38</v>
      </c>
      <c r="J157" s="21" t="s">
        <v>38</v>
      </c>
      <c r="K157" s="21" t="s">
        <v>38</v>
      </c>
      <c r="L157" s="21" t="s">
        <v>38</v>
      </c>
      <c r="M157" s="21"/>
      <c r="N157" s="21"/>
      <c r="O157" s="21"/>
      <c r="P157" s="21"/>
    </row>
    <row r="158" spans="1:16">
      <c r="A158" s="21"/>
      <c r="B158" s="17" t="s">
        <v>38</v>
      </c>
      <c r="C158" s="18">
        <v>0</v>
      </c>
      <c r="D158" s="19"/>
      <c r="E158" s="15"/>
      <c r="F158" s="15"/>
      <c r="G158" s="20"/>
      <c r="H158" s="21" t="s">
        <v>38</v>
      </c>
      <c r="I158" s="21" t="s">
        <v>38</v>
      </c>
      <c r="J158" s="21" t="s">
        <v>38</v>
      </c>
      <c r="K158" s="21" t="s">
        <v>38</v>
      </c>
      <c r="L158" s="21" t="s">
        <v>38</v>
      </c>
      <c r="M158" s="21"/>
      <c r="N158" s="21"/>
      <c r="O158" s="21"/>
      <c r="P158" s="21"/>
    </row>
    <row r="159" spans="1:16">
      <c r="A159" s="21"/>
      <c r="B159" s="17" t="s">
        <v>38</v>
      </c>
      <c r="C159" s="18">
        <v>0</v>
      </c>
      <c r="D159" s="19"/>
      <c r="E159" s="15"/>
      <c r="F159" s="15"/>
      <c r="G159" s="20"/>
      <c r="H159" s="21" t="s">
        <v>38</v>
      </c>
      <c r="I159" s="21" t="s">
        <v>38</v>
      </c>
      <c r="J159" s="21" t="s">
        <v>38</v>
      </c>
      <c r="K159" s="21" t="s">
        <v>38</v>
      </c>
      <c r="L159" s="21" t="s">
        <v>38</v>
      </c>
      <c r="M159" s="21"/>
      <c r="N159" s="21"/>
      <c r="O159" s="21"/>
      <c r="P159" s="21"/>
    </row>
    <row r="160" spans="1:16">
      <c r="A160" s="21"/>
      <c r="B160" s="17" t="s">
        <v>38</v>
      </c>
      <c r="C160" s="18">
        <v>0</v>
      </c>
      <c r="D160" s="19"/>
      <c r="E160" s="15"/>
      <c r="F160" s="15"/>
      <c r="G160" s="20"/>
      <c r="H160" s="21" t="s">
        <v>38</v>
      </c>
      <c r="I160" s="21" t="s">
        <v>38</v>
      </c>
      <c r="J160" s="21" t="s">
        <v>38</v>
      </c>
      <c r="K160" s="21" t="s">
        <v>38</v>
      </c>
      <c r="L160" s="21" t="s">
        <v>38</v>
      </c>
      <c r="M160" s="21"/>
      <c r="N160" s="21"/>
      <c r="O160" s="21"/>
      <c r="P160" s="21"/>
    </row>
    <row r="161" spans="1:16">
      <c r="A161" s="21"/>
      <c r="B161" s="17" t="s">
        <v>38</v>
      </c>
      <c r="C161" s="18">
        <v>0</v>
      </c>
      <c r="D161" s="19"/>
      <c r="E161" s="15"/>
      <c r="F161" s="15"/>
      <c r="G161" s="20"/>
      <c r="H161" s="21" t="s">
        <v>38</v>
      </c>
      <c r="I161" s="21" t="s">
        <v>38</v>
      </c>
      <c r="J161" s="21" t="s">
        <v>38</v>
      </c>
      <c r="K161" s="21" t="s">
        <v>38</v>
      </c>
      <c r="L161" s="21" t="s">
        <v>38</v>
      </c>
      <c r="M161" s="21"/>
      <c r="N161" s="21"/>
      <c r="O161" s="21"/>
      <c r="P161" s="21"/>
    </row>
    <row r="162" spans="1:16">
      <c r="A162" s="21"/>
      <c r="B162" s="17" t="s">
        <v>38</v>
      </c>
      <c r="C162" s="18">
        <v>0</v>
      </c>
      <c r="D162" s="19"/>
      <c r="E162" s="15"/>
      <c r="F162" s="15"/>
      <c r="G162" s="20"/>
      <c r="H162" s="21" t="s">
        <v>38</v>
      </c>
      <c r="I162" s="21" t="s">
        <v>38</v>
      </c>
      <c r="J162" s="21" t="s">
        <v>38</v>
      </c>
      <c r="K162" s="21" t="s">
        <v>38</v>
      </c>
      <c r="L162" s="21" t="s">
        <v>38</v>
      </c>
      <c r="M162" s="21"/>
      <c r="N162" s="21"/>
      <c r="O162" s="21"/>
      <c r="P162" s="21"/>
    </row>
    <row r="163" spans="1:16">
      <c r="A163" s="21"/>
      <c r="B163" s="17" t="s">
        <v>38</v>
      </c>
      <c r="C163" s="18">
        <v>0</v>
      </c>
      <c r="D163" s="19"/>
      <c r="E163" s="15"/>
      <c r="F163" s="15"/>
      <c r="G163" s="20"/>
      <c r="H163" s="21" t="s">
        <v>38</v>
      </c>
      <c r="I163" s="21" t="s">
        <v>38</v>
      </c>
      <c r="J163" s="21" t="s">
        <v>38</v>
      </c>
      <c r="K163" s="21" t="s">
        <v>38</v>
      </c>
      <c r="L163" s="21" t="s">
        <v>38</v>
      </c>
      <c r="M163" s="21"/>
      <c r="N163" s="21"/>
      <c r="O163" s="21"/>
      <c r="P163" s="21"/>
    </row>
    <row r="164" spans="1:16">
      <c r="A164" s="21"/>
      <c r="B164" s="17" t="s">
        <v>38</v>
      </c>
      <c r="C164" s="18">
        <v>0</v>
      </c>
      <c r="D164" s="19"/>
      <c r="E164" s="15"/>
      <c r="F164" s="15"/>
      <c r="G164" s="20"/>
      <c r="H164" s="21" t="s">
        <v>38</v>
      </c>
      <c r="I164" s="21" t="s">
        <v>38</v>
      </c>
      <c r="J164" s="21" t="s">
        <v>38</v>
      </c>
      <c r="K164" s="21" t="s">
        <v>38</v>
      </c>
      <c r="L164" s="21" t="s">
        <v>38</v>
      </c>
      <c r="M164" s="21"/>
      <c r="N164" s="21"/>
      <c r="O164" s="21"/>
      <c r="P164" s="21"/>
    </row>
    <row r="165" spans="1:16">
      <c r="A165" s="21"/>
      <c r="B165" s="17" t="s">
        <v>38</v>
      </c>
      <c r="C165" s="18">
        <v>0</v>
      </c>
      <c r="D165" s="19"/>
      <c r="E165" s="15"/>
      <c r="F165" s="15"/>
      <c r="G165" s="20"/>
      <c r="H165" s="21" t="s">
        <v>38</v>
      </c>
      <c r="I165" s="21" t="s">
        <v>38</v>
      </c>
      <c r="J165" s="21" t="s">
        <v>38</v>
      </c>
      <c r="K165" s="21" t="s">
        <v>38</v>
      </c>
      <c r="L165" s="21" t="s">
        <v>38</v>
      </c>
      <c r="M165" s="21"/>
      <c r="N165" s="21"/>
      <c r="O165" s="21"/>
      <c r="P165" s="21"/>
    </row>
    <row r="166" spans="1:16">
      <c r="A166" s="21"/>
      <c r="B166" s="17" t="s">
        <v>38</v>
      </c>
      <c r="C166" s="18">
        <v>0</v>
      </c>
      <c r="D166" s="19"/>
      <c r="E166" s="15"/>
      <c r="F166" s="15"/>
      <c r="G166" s="20"/>
      <c r="H166" s="21" t="s">
        <v>38</v>
      </c>
      <c r="I166" s="21" t="s">
        <v>38</v>
      </c>
      <c r="J166" s="21" t="s">
        <v>38</v>
      </c>
      <c r="K166" s="21" t="s">
        <v>38</v>
      </c>
      <c r="L166" s="21" t="s">
        <v>38</v>
      </c>
      <c r="M166" s="21"/>
      <c r="N166" s="21"/>
      <c r="O166" s="21"/>
      <c r="P166" s="21"/>
    </row>
    <row r="167" spans="1:16">
      <c r="A167" s="21"/>
      <c r="B167" s="17" t="s">
        <v>38</v>
      </c>
      <c r="C167" s="18">
        <v>0</v>
      </c>
      <c r="D167" s="19"/>
      <c r="E167" s="15"/>
      <c r="F167" s="15"/>
      <c r="G167" s="20"/>
      <c r="H167" s="21" t="s">
        <v>38</v>
      </c>
      <c r="I167" s="21" t="s">
        <v>38</v>
      </c>
      <c r="J167" s="21" t="s">
        <v>38</v>
      </c>
      <c r="K167" s="21" t="s">
        <v>38</v>
      </c>
      <c r="L167" s="21" t="s">
        <v>38</v>
      </c>
      <c r="M167" s="21"/>
      <c r="N167" s="21"/>
      <c r="O167" s="21"/>
      <c r="P167" s="21"/>
    </row>
    <row r="168" spans="1:16">
      <c r="A168" s="21"/>
      <c r="B168" s="17" t="s">
        <v>38</v>
      </c>
      <c r="C168" s="18">
        <v>0</v>
      </c>
      <c r="D168" s="19"/>
      <c r="E168" s="15"/>
      <c r="F168" s="15"/>
      <c r="G168" s="20"/>
      <c r="H168" s="21" t="s">
        <v>38</v>
      </c>
      <c r="I168" s="21" t="s">
        <v>38</v>
      </c>
      <c r="J168" s="21" t="s">
        <v>38</v>
      </c>
      <c r="K168" s="21" t="s">
        <v>38</v>
      </c>
      <c r="L168" s="21" t="s">
        <v>38</v>
      </c>
      <c r="M168" s="21"/>
      <c r="N168" s="21"/>
      <c r="O168" s="21"/>
      <c r="P168" s="21"/>
    </row>
    <row r="169" spans="1:16">
      <c r="A169" s="21"/>
      <c r="B169" s="17" t="s">
        <v>38</v>
      </c>
      <c r="C169" s="18">
        <v>0</v>
      </c>
      <c r="D169" s="19"/>
      <c r="E169" s="15"/>
      <c r="F169" s="15"/>
      <c r="G169" s="20"/>
      <c r="H169" s="21" t="s">
        <v>38</v>
      </c>
      <c r="I169" s="21" t="s">
        <v>38</v>
      </c>
      <c r="J169" s="21" t="s">
        <v>38</v>
      </c>
      <c r="K169" s="21" t="s">
        <v>38</v>
      </c>
      <c r="L169" s="21" t="s">
        <v>38</v>
      </c>
      <c r="M169" s="21"/>
      <c r="N169" s="21"/>
      <c r="O169" s="21"/>
      <c r="P169" s="21"/>
    </row>
    <row r="170" spans="1:16">
      <c r="A170" s="21"/>
      <c r="B170" s="17" t="s">
        <v>38</v>
      </c>
      <c r="C170" s="18">
        <v>0</v>
      </c>
      <c r="D170" s="19"/>
      <c r="E170" s="15"/>
      <c r="F170" s="15"/>
      <c r="G170" s="20"/>
      <c r="H170" s="21" t="s">
        <v>38</v>
      </c>
      <c r="I170" s="21" t="s">
        <v>38</v>
      </c>
      <c r="J170" s="21" t="s">
        <v>38</v>
      </c>
      <c r="K170" s="21" t="s">
        <v>38</v>
      </c>
      <c r="L170" s="21" t="s">
        <v>38</v>
      </c>
      <c r="M170" s="21"/>
      <c r="N170" s="21"/>
      <c r="O170" s="21"/>
      <c r="P170" s="21"/>
    </row>
    <row r="171" spans="1:16">
      <c r="A171" s="21"/>
      <c r="B171" s="17" t="s">
        <v>38</v>
      </c>
      <c r="C171" s="18">
        <v>0</v>
      </c>
      <c r="D171" s="19"/>
      <c r="E171" s="15"/>
      <c r="F171" s="15"/>
      <c r="G171" s="20"/>
      <c r="H171" s="21" t="s">
        <v>38</v>
      </c>
      <c r="I171" s="21" t="s">
        <v>38</v>
      </c>
      <c r="J171" s="21" t="s">
        <v>38</v>
      </c>
      <c r="K171" s="21" t="s">
        <v>38</v>
      </c>
      <c r="L171" s="21" t="s">
        <v>38</v>
      </c>
      <c r="M171" s="21"/>
      <c r="N171" s="21"/>
      <c r="O171" s="21"/>
      <c r="P171" s="21"/>
    </row>
    <row r="172" spans="1:16">
      <c r="A172" s="21"/>
      <c r="B172" s="17" t="s">
        <v>38</v>
      </c>
      <c r="C172" s="18">
        <v>0</v>
      </c>
      <c r="D172" s="19"/>
      <c r="E172" s="15"/>
      <c r="F172" s="15"/>
      <c r="G172" s="20"/>
      <c r="H172" s="21" t="s">
        <v>38</v>
      </c>
      <c r="I172" s="21" t="s">
        <v>38</v>
      </c>
      <c r="J172" s="21" t="s">
        <v>38</v>
      </c>
      <c r="K172" s="21" t="s">
        <v>38</v>
      </c>
      <c r="L172" s="21" t="s">
        <v>38</v>
      </c>
      <c r="M172" s="21"/>
      <c r="N172" s="21"/>
      <c r="O172" s="21"/>
      <c r="P172" s="21"/>
    </row>
    <row r="173" spans="1:16">
      <c r="A173" s="21"/>
      <c r="B173" s="17" t="s">
        <v>38</v>
      </c>
      <c r="C173" s="18">
        <v>0</v>
      </c>
      <c r="D173" s="19"/>
      <c r="E173" s="15"/>
      <c r="F173" s="15"/>
      <c r="G173" s="20"/>
      <c r="H173" s="21" t="s">
        <v>38</v>
      </c>
      <c r="I173" s="21" t="s">
        <v>38</v>
      </c>
      <c r="J173" s="21" t="s">
        <v>38</v>
      </c>
      <c r="K173" s="21" t="s">
        <v>38</v>
      </c>
      <c r="L173" s="21" t="s">
        <v>38</v>
      </c>
      <c r="M173" s="21"/>
      <c r="N173" s="21"/>
      <c r="O173" s="21"/>
      <c r="P173" s="21"/>
    </row>
    <row r="174" spans="1:16">
      <c r="A174" s="21"/>
      <c r="B174" s="17" t="s">
        <v>38</v>
      </c>
      <c r="C174" s="18">
        <v>0</v>
      </c>
      <c r="D174" s="19"/>
      <c r="E174" s="15"/>
      <c r="F174" s="15"/>
      <c r="G174" s="20"/>
      <c r="H174" s="21" t="s">
        <v>38</v>
      </c>
      <c r="I174" s="21" t="s">
        <v>38</v>
      </c>
      <c r="J174" s="21" t="s">
        <v>38</v>
      </c>
      <c r="K174" s="21" t="s">
        <v>38</v>
      </c>
      <c r="L174" s="21" t="s">
        <v>38</v>
      </c>
      <c r="M174" s="21"/>
      <c r="N174" s="21"/>
      <c r="O174" s="21"/>
      <c r="P174" s="21"/>
    </row>
    <row r="175" spans="1:16">
      <c r="A175" s="21"/>
      <c r="B175" s="17" t="s">
        <v>38</v>
      </c>
      <c r="C175" s="18">
        <v>0</v>
      </c>
      <c r="D175" s="19"/>
      <c r="E175" s="15"/>
      <c r="F175" s="15"/>
      <c r="G175" s="20"/>
      <c r="H175" s="21" t="s">
        <v>38</v>
      </c>
      <c r="I175" s="21" t="s">
        <v>38</v>
      </c>
      <c r="J175" s="21" t="s">
        <v>38</v>
      </c>
      <c r="K175" s="21" t="s">
        <v>38</v>
      </c>
      <c r="L175" s="21" t="s">
        <v>38</v>
      </c>
      <c r="M175" s="21"/>
      <c r="N175" s="21"/>
      <c r="O175" s="21"/>
      <c r="P175" s="21"/>
    </row>
    <row r="176" spans="1:16">
      <c r="A176" s="21"/>
      <c r="B176" s="17" t="s">
        <v>38</v>
      </c>
      <c r="C176" s="18">
        <v>0</v>
      </c>
      <c r="D176" s="19"/>
      <c r="E176" s="15"/>
      <c r="F176" s="15"/>
      <c r="G176" s="20"/>
      <c r="H176" s="21" t="s">
        <v>38</v>
      </c>
      <c r="I176" s="21" t="s">
        <v>38</v>
      </c>
      <c r="J176" s="21" t="s">
        <v>38</v>
      </c>
      <c r="K176" s="21" t="s">
        <v>38</v>
      </c>
      <c r="L176" s="21" t="s">
        <v>38</v>
      </c>
      <c r="M176" s="21"/>
      <c r="N176" s="21"/>
      <c r="O176" s="21"/>
      <c r="P176" s="21"/>
    </row>
    <row r="177" spans="1:16">
      <c r="A177" s="21"/>
      <c r="B177" s="17" t="s">
        <v>38</v>
      </c>
      <c r="C177" s="18">
        <v>0</v>
      </c>
      <c r="D177" s="19"/>
      <c r="E177" s="15"/>
      <c r="F177" s="15"/>
      <c r="G177" s="20"/>
      <c r="H177" s="21" t="s">
        <v>38</v>
      </c>
      <c r="I177" s="21" t="s">
        <v>38</v>
      </c>
      <c r="J177" s="21" t="s">
        <v>38</v>
      </c>
      <c r="K177" s="21" t="s">
        <v>38</v>
      </c>
      <c r="L177" s="21" t="s">
        <v>38</v>
      </c>
      <c r="M177" s="21"/>
      <c r="N177" s="21"/>
      <c r="O177" s="21"/>
      <c r="P177" s="21"/>
    </row>
    <row r="178" spans="1:16">
      <c r="A178" s="21"/>
      <c r="B178" s="17" t="s">
        <v>38</v>
      </c>
      <c r="C178" s="18">
        <v>0</v>
      </c>
      <c r="D178" s="19"/>
      <c r="E178" s="15"/>
      <c r="F178" s="15"/>
      <c r="G178" s="20"/>
      <c r="H178" s="21" t="s">
        <v>38</v>
      </c>
      <c r="I178" s="21" t="s">
        <v>38</v>
      </c>
      <c r="J178" s="21" t="s">
        <v>38</v>
      </c>
      <c r="K178" s="21" t="s">
        <v>38</v>
      </c>
      <c r="L178" s="21" t="s">
        <v>38</v>
      </c>
      <c r="M178" s="21"/>
      <c r="N178" s="21"/>
      <c r="O178" s="21"/>
      <c r="P178" s="21"/>
    </row>
    <row r="179" spans="1:16">
      <c r="A179" s="21"/>
      <c r="B179" s="17" t="s">
        <v>38</v>
      </c>
      <c r="C179" s="18">
        <v>0</v>
      </c>
      <c r="D179" s="19"/>
      <c r="E179" s="15"/>
      <c r="F179" s="15"/>
      <c r="G179" s="20"/>
      <c r="H179" s="21" t="s">
        <v>38</v>
      </c>
      <c r="I179" s="21" t="s">
        <v>38</v>
      </c>
      <c r="J179" s="21" t="s">
        <v>38</v>
      </c>
      <c r="K179" s="21" t="s">
        <v>38</v>
      </c>
      <c r="L179" s="21" t="s">
        <v>38</v>
      </c>
      <c r="M179" s="21"/>
      <c r="N179" s="21"/>
      <c r="O179" s="21"/>
      <c r="P179" s="21"/>
    </row>
    <row r="180" spans="1:16">
      <c r="A180" s="21"/>
      <c r="B180" s="17" t="s">
        <v>38</v>
      </c>
      <c r="C180" s="18">
        <v>0</v>
      </c>
      <c r="D180" s="19"/>
      <c r="E180" s="15"/>
      <c r="F180" s="15"/>
      <c r="G180" s="20"/>
      <c r="H180" s="21" t="s">
        <v>38</v>
      </c>
      <c r="I180" s="21" t="s">
        <v>38</v>
      </c>
      <c r="J180" s="21" t="s">
        <v>38</v>
      </c>
      <c r="K180" s="21" t="s">
        <v>38</v>
      </c>
      <c r="L180" s="21" t="s">
        <v>38</v>
      </c>
      <c r="M180" s="21"/>
      <c r="N180" s="21"/>
      <c r="O180" s="21"/>
      <c r="P180" s="21"/>
    </row>
    <row r="181" spans="1:16">
      <c r="A181" s="21"/>
      <c r="B181" s="17" t="s">
        <v>38</v>
      </c>
      <c r="C181" s="18">
        <v>0</v>
      </c>
      <c r="D181" s="19"/>
      <c r="E181" s="15"/>
      <c r="F181" s="15"/>
      <c r="G181" s="20"/>
      <c r="H181" s="21" t="s">
        <v>38</v>
      </c>
      <c r="I181" s="21" t="s">
        <v>38</v>
      </c>
      <c r="J181" s="21" t="s">
        <v>38</v>
      </c>
      <c r="K181" s="21" t="s">
        <v>38</v>
      </c>
      <c r="L181" s="21" t="s">
        <v>38</v>
      </c>
      <c r="M181" s="21"/>
      <c r="N181" s="21"/>
      <c r="O181" s="21"/>
      <c r="P181" s="21"/>
    </row>
    <row r="182" ht="15.15" spans="1:16">
      <c r="A182" s="21"/>
      <c r="B182" s="17" t="s">
        <v>38</v>
      </c>
      <c r="C182" s="18">
        <v>0</v>
      </c>
      <c r="D182" s="23"/>
      <c r="E182" s="24"/>
      <c r="F182" s="24"/>
      <c r="G182" s="25"/>
      <c r="H182" s="21" t="s">
        <v>38</v>
      </c>
      <c r="I182" s="21" t="s">
        <v>38</v>
      </c>
      <c r="J182" s="21" t="s">
        <v>38</v>
      </c>
      <c r="K182" s="21" t="s">
        <v>38</v>
      </c>
      <c r="L182" s="21" t="s">
        <v>38</v>
      </c>
      <c r="M182" s="21"/>
      <c r="N182" s="21"/>
      <c r="O182" s="21"/>
      <c r="P182" s="21"/>
    </row>
    <row r="183" ht="15.15" spans="1:16">
      <c r="C183" s="26"/>
    </row>
    <row r="184" spans="1:16">
      <c r="A184" s="27" t="s">
        <v>66</v>
      </c>
      <c r="B184" s="28" t="s">
        <v>166</v>
      </c>
      <c r="C184" s="29">
        <v>1</v>
      </c>
      <c r="D184" s="30"/>
      <c r="E184" s="31">
        <v>1</v>
      </c>
      <c r="F184" s="31"/>
      <c r="G184" s="32"/>
      <c r="H184" t="s">
        <v>298</v>
      </c>
      <c r="I184" t="s">
        <v>299</v>
      </c>
      <c r="J184" t="s">
        <v>38</v>
      </c>
      <c r="K184" t="s">
        <v>38</v>
      </c>
      <c r="L184" t="s">
        <v>38</v>
      </c>
      <c r="O184">
        <v>45</v>
      </c>
      <c r="P184" s="14">
        <v>44725.85</v>
      </c>
    </row>
    <row r="185" spans="1:16">
      <c r="B185" s="33" t="s">
        <v>164</v>
      </c>
      <c r="C185" s="34">
        <v>1</v>
      </c>
      <c r="D185" s="19"/>
      <c r="E185" s="15">
        <v>1</v>
      </c>
      <c r="F185" s="15"/>
      <c r="G185" s="35"/>
      <c r="H185" t="s">
        <v>298</v>
      </c>
      <c r="I185" t="s">
        <v>299</v>
      </c>
      <c r="J185" t="s">
        <v>318</v>
      </c>
      <c r="K185" s="21" t="s">
        <v>38</v>
      </c>
      <c r="L185" t="s">
        <v>38</v>
      </c>
      <c r="M185" t="s">
        <v>300</v>
      </c>
    </row>
    <row r="186" spans="1:16">
      <c r="B186" s="33" t="s">
        <v>164</v>
      </c>
      <c r="C186" s="34">
        <v>1</v>
      </c>
      <c r="D186" s="19"/>
      <c r="E186" s="15">
        <v>2</v>
      </c>
      <c r="F186" s="15"/>
      <c r="G186" s="35"/>
      <c r="H186" t="s">
        <v>298</v>
      </c>
      <c r="I186" t="s">
        <v>299</v>
      </c>
      <c r="J186" t="s">
        <v>318</v>
      </c>
      <c r="K186" s="21" t="s">
        <v>38</v>
      </c>
      <c r="L186" t="s">
        <v>38</v>
      </c>
      <c r="M186" t="s">
        <v>300</v>
      </c>
    </row>
    <row r="187" spans="1:16">
      <c r="B187" s="33" t="s">
        <v>164</v>
      </c>
      <c r="C187" s="34">
        <v>1</v>
      </c>
      <c r="D187" s="19"/>
      <c r="E187" s="15">
        <v>3</v>
      </c>
      <c r="F187" s="15"/>
      <c r="G187" s="35"/>
      <c r="H187" t="s">
        <v>298</v>
      </c>
      <c r="I187" t="s">
        <v>299</v>
      </c>
      <c r="J187" t="s">
        <v>318</v>
      </c>
      <c r="K187" s="21" t="s">
        <v>38</v>
      </c>
      <c r="L187" t="s">
        <v>38</v>
      </c>
      <c r="M187" t="s">
        <v>300</v>
      </c>
    </row>
    <row r="188" spans="1:16">
      <c r="B188" s="33" t="s">
        <v>168</v>
      </c>
      <c r="C188" s="34">
        <v>1</v>
      </c>
      <c r="D188" s="19"/>
      <c r="E188" s="15">
        <v>4</v>
      </c>
      <c r="F188" s="15"/>
      <c r="G188" s="35"/>
      <c r="H188" t="s">
        <v>302</v>
      </c>
      <c r="I188" t="s">
        <v>38</v>
      </c>
      <c r="J188" t="s">
        <v>38</v>
      </c>
      <c r="K188" s="21" t="s">
        <v>38</v>
      </c>
      <c r="L188" t="s">
        <v>38</v>
      </c>
      <c r="M188" t="s">
        <v>300</v>
      </c>
    </row>
    <row r="189" spans="1:16">
      <c r="B189" s="33" t="s">
        <v>170</v>
      </c>
      <c r="C189" s="34">
        <v>1</v>
      </c>
      <c r="D189" s="19"/>
      <c r="E189" s="15">
        <v>4</v>
      </c>
      <c r="F189" s="15"/>
      <c r="G189" s="35"/>
      <c r="H189" t="s">
        <v>303</v>
      </c>
      <c r="I189" t="s">
        <v>38</v>
      </c>
      <c r="J189" t="s">
        <v>38</v>
      </c>
      <c r="K189" s="21" t="s">
        <v>38</v>
      </c>
      <c r="L189" t="s">
        <v>38</v>
      </c>
      <c r="M189" t="s">
        <v>300</v>
      </c>
    </row>
    <row r="190" spans="1:16">
      <c r="B190" s="33" t="s">
        <v>169</v>
      </c>
      <c r="C190" s="34">
        <v>12</v>
      </c>
      <c r="D190" s="19"/>
      <c r="E190" s="15">
        <v>4</v>
      </c>
      <c r="F190" s="15"/>
      <c r="G190" s="35"/>
      <c r="H190" t="s">
        <v>298</v>
      </c>
      <c r="I190" t="s">
        <v>299</v>
      </c>
      <c r="J190" t="s">
        <v>303</v>
      </c>
      <c r="K190" s="21" t="s">
        <v>38</v>
      </c>
      <c r="L190" t="s">
        <v>38</v>
      </c>
    </row>
    <row r="191" spans="1:16">
      <c r="B191" s="33" t="s">
        <v>139</v>
      </c>
      <c r="C191" s="34">
        <v>1</v>
      </c>
      <c r="D191" s="19"/>
      <c r="E191" s="15">
        <v>5</v>
      </c>
      <c r="F191" s="15"/>
      <c r="G191" s="35"/>
      <c r="H191" t="s">
        <v>303</v>
      </c>
      <c r="I191" t="s">
        <v>38</v>
      </c>
      <c r="J191" t="s">
        <v>38</v>
      </c>
      <c r="K191" t="s">
        <v>38</v>
      </c>
      <c r="L191" t="s">
        <v>38</v>
      </c>
      <c r="M191" t="s">
        <v>300</v>
      </c>
    </row>
    <row r="192" spans="1:16">
      <c r="B192" s="33" t="s">
        <v>148</v>
      </c>
      <c r="C192" s="34">
        <v>1</v>
      </c>
      <c r="D192" s="19"/>
      <c r="E192" s="15">
        <v>5</v>
      </c>
      <c r="F192" s="15"/>
      <c r="G192" s="35"/>
      <c r="H192" t="s">
        <v>303</v>
      </c>
      <c r="I192" t="s">
        <v>38</v>
      </c>
      <c r="J192" t="s">
        <v>38</v>
      </c>
      <c r="K192" t="s">
        <v>38</v>
      </c>
      <c r="L192" t="s">
        <v>38</v>
      </c>
      <c r="M192" t="s">
        <v>300</v>
      </c>
    </row>
    <row r="193" spans="2:13">
      <c r="B193" s="33" t="s">
        <v>150</v>
      </c>
      <c r="C193" s="34">
        <v>1</v>
      </c>
      <c r="D193" s="19"/>
      <c r="E193" s="15">
        <v>5</v>
      </c>
      <c r="F193" s="15"/>
      <c r="G193" s="35"/>
      <c r="H193" t="s">
        <v>303</v>
      </c>
      <c r="I193" t="s">
        <v>38</v>
      </c>
      <c r="J193" t="s">
        <v>38</v>
      </c>
      <c r="K193" t="s">
        <v>38</v>
      </c>
      <c r="L193" t="s">
        <v>38</v>
      </c>
      <c r="M193" t="s">
        <v>300</v>
      </c>
    </row>
    <row r="194" spans="2:13">
      <c r="B194" s="33" t="s">
        <v>151</v>
      </c>
      <c r="C194" s="34">
        <v>1</v>
      </c>
      <c r="D194" s="19"/>
      <c r="E194" s="15">
        <v>5</v>
      </c>
      <c r="F194" s="15"/>
      <c r="G194" s="35"/>
      <c r="H194" t="s">
        <v>303</v>
      </c>
      <c r="I194" t="s">
        <v>38</v>
      </c>
      <c r="J194" t="s">
        <v>38</v>
      </c>
      <c r="K194" t="s">
        <v>38</v>
      </c>
      <c r="L194" t="s">
        <v>38</v>
      </c>
    </row>
    <row r="195" spans="2:13">
      <c r="B195" s="33" t="s">
        <v>167</v>
      </c>
      <c r="C195" s="34">
        <v>1</v>
      </c>
      <c r="D195" s="19"/>
      <c r="E195" s="15">
        <v>5</v>
      </c>
      <c r="F195" s="15"/>
      <c r="G195" s="35"/>
      <c r="H195" t="s">
        <v>303</v>
      </c>
      <c r="I195" t="s">
        <v>38</v>
      </c>
      <c r="J195" t="s">
        <v>38</v>
      </c>
      <c r="K195" t="s">
        <v>38</v>
      </c>
      <c r="L195" t="s">
        <v>38</v>
      </c>
    </row>
    <row r="196" spans="2:13">
      <c r="B196" s="33" t="s">
        <v>171</v>
      </c>
      <c r="C196" s="34">
        <v>1</v>
      </c>
      <c r="D196" s="19"/>
      <c r="E196" s="15">
        <v>5</v>
      </c>
      <c r="F196" s="15"/>
      <c r="G196" s="35"/>
      <c r="H196" t="s">
        <v>303</v>
      </c>
      <c r="I196" t="s">
        <v>38</v>
      </c>
      <c r="J196" t="s">
        <v>302</v>
      </c>
      <c r="K196" t="s">
        <v>38</v>
      </c>
      <c r="L196" t="s">
        <v>38</v>
      </c>
    </row>
    <row r="197" spans="2:13">
      <c r="B197" s="33" t="s">
        <v>166</v>
      </c>
      <c r="C197" s="34">
        <v>1</v>
      </c>
      <c r="D197" s="19"/>
      <c r="E197" s="15">
        <v>5</v>
      </c>
      <c r="F197" s="15"/>
      <c r="G197" s="35"/>
      <c r="H197" t="s">
        <v>298</v>
      </c>
      <c r="I197" t="s">
        <v>299</v>
      </c>
      <c r="J197" t="s">
        <v>302</v>
      </c>
      <c r="K197" t="s">
        <v>38</v>
      </c>
      <c r="L197" t="s">
        <v>38</v>
      </c>
      <c r="M197" t="s">
        <v>303</v>
      </c>
    </row>
    <row r="198" spans="2:13">
      <c r="B198" s="33" t="s">
        <v>164</v>
      </c>
      <c r="C198" s="34">
        <v>4</v>
      </c>
      <c r="D198" s="19"/>
      <c r="E198" s="15">
        <v>5</v>
      </c>
      <c r="F198" s="15"/>
      <c r="G198" s="35"/>
      <c r="H198" t="s">
        <v>298</v>
      </c>
      <c r="I198" t="s">
        <v>299</v>
      </c>
      <c r="J198" t="s">
        <v>302</v>
      </c>
      <c r="K198" t="s">
        <v>319</v>
      </c>
      <c r="L198" t="s">
        <v>318</v>
      </c>
      <c r="M198" t="s">
        <v>303</v>
      </c>
    </row>
    <row r="199" spans="2:13">
      <c r="B199" s="33" t="s">
        <v>168</v>
      </c>
      <c r="C199" s="34">
        <v>1</v>
      </c>
      <c r="D199" s="19"/>
      <c r="E199" s="15">
        <v>5</v>
      </c>
      <c r="F199" s="15"/>
      <c r="G199" s="35"/>
      <c r="H199" t="s">
        <v>302</v>
      </c>
      <c r="I199" t="s">
        <v>38</v>
      </c>
      <c r="J199" t="s">
        <v>38</v>
      </c>
      <c r="K199" t="s">
        <v>38</v>
      </c>
      <c r="L199" t="s">
        <v>38</v>
      </c>
    </row>
    <row r="200" spans="2:13">
      <c r="B200" s="33" t="s">
        <v>169</v>
      </c>
      <c r="C200" s="34">
        <v>12</v>
      </c>
      <c r="D200" s="19"/>
      <c r="E200" s="15">
        <v>5</v>
      </c>
      <c r="F200" s="15"/>
      <c r="G200" s="35"/>
      <c r="H200" t="s">
        <v>298</v>
      </c>
      <c r="I200" t="s">
        <v>299</v>
      </c>
      <c r="J200" t="s">
        <v>303</v>
      </c>
      <c r="K200" t="s">
        <v>302</v>
      </c>
      <c r="L200" t="s">
        <v>38</v>
      </c>
    </row>
    <row r="201" spans="2:13">
      <c r="B201" s="33" t="s">
        <v>139</v>
      </c>
      <c r="C201" s="34">
        <v>1</v>
      </c>
      <c r="D201" s="19"/>
      <c r="E201" s="15">
        <v>5</v>
      </c>
      <c r="F201" s="15"/>
      <c r="G201" s="35"/>
      <c r="H201" t="s">
        <v>303</v>
      </c>
      <c r="I201" t="s">
        <v>38</v>
      </c>
      <c r="J201" t="s">
        <v>38</v>
      </c>
      <c r="K201" t="s">
        <v>38</v>
      </c>
      <c r="L201" t="s">
        <v>38</v>
      </c>
    </row>
    <row r="202" spans="2:13">
      <c r="B202" s="33" t="s">
        <v>148</v>
      </c>
      <c r="C202" s="34">
        <v>1</v>
      </c>
      <c r="D202" s="19"/>
      <c r="E202" s="15">
        <v>5</v>
      </c>
      <c r="F202" s="15"/>
      <c r="G202" s="35">
        <v>1</v>
      </c>
      <c r="H202" t="s">
        <v>304</v>
      </c>
      <c r="I202" t="s">
        <v>38</v>
      </c>
      <c r="J202" t="s">
        <v>38</v>
      </c>
      <c r="K202" t="s">
        <v>38</v>
      </c>
      <c r="L202" t="s">
        <v>38</v>
      </c>
    </row>
    <row r="203" spans="2:13">
      <c r="B203" s="33" t="s">
        <v>150</v>
      </c>
      <c r="C203" s="34">
        <v>1</v>
      </c>
      <c r="D203" s="19"/>
      <c r="E203" s="15">
        <v>5</v>
      </c>
      <c r="F203" s="15"/>
      <c r="G203" s="35">
        <v>1</v>
      </c>
      <c r="H203" t="s">
        <v>304</v>
      </c>
      <c r="I203" t="s">
        <v>38</v>
      </c>
      <c r="J203" t="s">
        <v>38</v>
      </c>
      <c r="K203" t="s">
        <v>38</v>
      </c>
      <c r="L203" t="s">
        <v>38</v>
      </c>
    </row>
    <row r="204" spans="2:13">
      <c r="B204" s="33" t="s">
        <v>151</v>
      </c>
      <c r="C204" s="34">
        <v>1</v>
      </c>
      <c r="D204" s="19"/>
      <c r="E204" s="15">
        <v>5</v>
      </c>
      <c r="F204" s="15"/>
      <c r="G204" s="35">
        <v>1</v>
      </c>
      <c r="H204" t="s">
        <v>304</v>
      </c>
      <c r="I204" t="s">
        <v>38</v>
      </c>
      <c r="J204" t="s">
        <v>38</v>
      </c>
      <c r="K204" t="s">
        <v>38</v>
      </c>
      <c r="L204" t="s">
        <v>38</v>
      </c>
    </row>
    <row r="205" spans="2:13">
      <c r="B205" s="33" t="s">
        <v>167</v>
      </c>
      <c r="C205" s="34">
        <v>1</v>
      </c>
      <c r="D205" s="19"/>
      <c r="E205" s="15">
        <v>5</v>
      </c>
      <c r="F205" s="15"/>
      <c r="G205" s="35">
        <v>1</v>
      </c>
      <c r="H205" t="s">
        <v>304</v>
      </c>
      <c r="I205" t="s">
        <v>38</v>
      </c>
      <c r="J205" t="s">
        <v>38</v>
      </c>
      <c r="K205" t="s">
        <v>38</v>
      </c>
      <c r="L205" t="s">
        <v>38</v>
      </c>
      <c r="M205" t="s">
        <v>300</v>
      </c>
    </row>
    <row r="206" spans="2:13">
      <c r="B206" s="33" t="s">
        <v>133</v>
      </c>
      <c r="C206" s="22">
        <v>1</v>
      </c>
      <c r="D206" s="19"/>
      <c r="E206" s="15">
        <v>5</v>
      </c>
      <c r="F206" s="15"/>
      <c r="G206" s="35">
        <v>1</v>
      </c>
      <c r="H206" t="s">
        <v>304</v>
      </c>
      <c r="I206" t="s">
        <v>38</v>
      </c>
      <c r="J206" t="s">
        <v>38</v>
      </c>
      <c r="K206" t="s">
        <v>38</v>
      </c>
      <c r="L206" t="s">
        <v>38</v>
      </c>
      <c r="M206" t="s">
        <v>300</v>
      </c>
    </row>
    <row r="207" spans="2:13">
      <c r="B207" s="33" t="s">
        <v>171</v>
      </c>
      <c r="C207" s="34">
        <v>1</v>
      </c>
      <c r="D207" s="19"/>
      <c r="E207" s="15">
        <v>5</v>
      </c>
      <c r="F207" s="15"/>
      <c r="G207" s="35">
        <v>1</v>
      </c>
      <c r="H207" t="s">
        <v>304</v>
      </c>
      <c r="I207" t="s">
        <v>320</v>
      </c>
      <c r="J207" t="s">
        <v>302</v>
      </c>
      <c r="K207" t="s">
        <v>38</v>
      </c>
      <c r="L207" t="s">
        <v>38</v>
      </c>
      <c r="M207" t="s">
        <v>300</v>
      </c>
    </row>
    <row r="208" spans="2:13">
      <c r="B208" s="33" t="s">
        <v>166</v>
      </c>
      <c r="C208" s="34">
        <v>1</v>
      </c>
      <c r="D208" s="19"/>
      <c r="E208" s="15">
        <v>5</v>
      </c>
      <c r="F208" s="15"/>
      <c r="G208" s="35">
        <v>1</v>
      </c>
      <c r="H208" t="s">
        <v>298</v>
      </c>
      <c r="I208" t="s">
        <v>299</v>
      </c>
      <c r="J208" t="s">
        <v>304</v>
      </c>
      <c r="K208" t="s">
        <v>38</v>
      </c>
      <c r="L208" t="s">
        <v>38</v>
      </c>
      <c r="M208" t="s">
        <v>300</v>
      </c>
    </row>
    <row r="209" spans="2:14">
      <c r="B209" s="33" t="s">
        <v>133</v>
      </c>
      <c r="C209" s="22">
        <v>1</v>
      </c>
      <c r="D209" s="19"/>
      <c r="E209" s="15">
        <v>5</v>
      </c>
      <c r="F209" s="15"/>
      <c r="G209" s="35">
        <v>1</v>
      </c>
      <c r="H209" t="s">
        <v>304</v>
      </c>
      <c r="I209" t="s">
        <v>38</v>
      </c>
      <c r="J209" t="s">
        <v>38</v>
      </c>
      <c r="K209" t="s">
        <v>38</v>
      </c>
      <c r="L209" t="s">
        <v>38</v>
      </c>
      <c r="M209" t="s">
        <v>300</v>
      </c>
    </row>
    <row r="210" spans="2:14">
      <c r="B210" s="33" t="s">
        <v>164</v>
      </c>
      <c r="C210" s="34">
        <v>4</v>
      </c>
      <c r="D210" s="19">
        <v>1</v>
      </c>
      <c r="E210" s="15">
        <v>5</v>
      </c>
      <c r="F210" s="15">
        <v>5</v>
      </c>
      <c r="G210" s="35">
        <v>1</v>
      </c>
      <c r="H210" t="s">
        <v>298</v>
      </c>
      <c r="I210" t="s">
        <v>302</v>
      </c>
      <c r="J210" t="s">
        <v>304</v>
      </c>
      <c r="K210" t="s">
        <v>321</v>
      </c>
      <c r="L210" t="s">
        <v>318</v>
      </c>
      <c r="M210" t="s">
        <v>299</v>
      </c>
      <c r="N210" t="s">
        <v>300</v>
      </c>
    </row>
    <row r="211" spans="2:14">
      <c r="B211" s="33" t="s">
        <v>168</v>
      </c>
      <c r="C211" s="34">
        <v>1</v>
      </c>
      <c r="D211" s="19">
        <v>1</v>
      </c>
      <c r="E211" s="15">
        <v>5</v>
      </c>
      <c r="F211" s="15">
        <v>5</v>
      </c>
      <c r="G211" s="35">
        <v>1</v>
      </c>
      <c r="H211" t="s">
        <v>304</v>
      </c>
      <c r="I211" t="s">
        <v>38</v>
      </c>
      <c r="J211" t="s">
        <v>38</v>
      </c>
      <c r="K211" t="s">
        <v>38</v>
      </c>
      <c r="L211" t="s">
        <v>38</v>
      </c>
    </row>
    <row r="212" spans="2:14">
      <c r="B212" s="33" t="s">
        <v>169</v>
      </c>
      <c r="C212" s="34">
        <v>0.5</v>
      </c>
      <c r="D212" s="19">
        <v>1</v>
      </c>
      <c r="E212" s="15">
        <v>5</v>
      </c>
      <c r="F212" s="15">
        <v>5</v>
      </c>
      <c r="G212" s="35">
        <v>1</v>
      </c>
      <c r="H212" t="s">
        <v>298</v>
      </c>
      <c r="I212" t="s">
        <v>302</v>
      </c>
      <c r="J212" t="s">
        <v>304</v>
      </c>
      <c r="K212" t="s">
        <v>38</v>
      </c>
      <c r="L212" t="s">
        <v>38</v>
      </c>
      <c r="M212" t="s">
        <v>299</v>
      </c>
    </row>
    <row r="213" spans="2:14">
      <c r="B213" s="33" t="s">
        <v>169</v>
      </c>
      <c r="C213" s="34">
        <v>12</v>
      </c>
      <c r="D213" s="19">
        <v>1</v>
      </c>
      <c r="E213" s="15">
        <v>5</v>
      </c>
      <c r="F213" s="15">
        <v>5</v>
      </c>
      <c r="G213" s="35">
        <v>1</v>
      </c>
      <c r="H213" t="s">
        <v>298</v>
      </c>
      <c r="I213" t="s">
        <v>302</v>
      </c>
      <c r="J213" t="s">
        <v>304</v>
      </c>
      <c r="K213" t="s">
        <v>38</v>
      </c>
      <c r="L213" t="s">
        <v>38</v>
      </c>
      <c r="M213" t="s">
        <v>299</v>
      </c>
    </row>
    <row r="214" spans="2:14">
      <c r="B214" s="33" t="s">
        <v>139</v>
      </c>
      <c r="C214" s="34">
        <v>1</v>
      </c>
      <c r="D214" s="19">
        <v>1</v>
      </c>
      <c r="E214" s="15">
        <v>5</v>
      </c>
      <c r="F214" s="15">
        <v>5</v>
      </c>
      <c r="G214" s="35">
        <v>1</v>
      </c>
      <c r="H214" t="s">
        <v>304</v>
      </c>
      <c r="I214" t="s">
        <v>38</v>
      </c>
      <c r="J214" t="s">
        <v>38</v>
      </c>
      <c r="K214" t="s">
        <v>38</v>
      </c>
      <c r="L214" t="s">
        <v>38</v>
      </c>
    </row>
    <row r="215" spans="2:14">
      <c r="B215" s="33" t="s">
        <v>148</v>
      </c>
      <c r="C215" s="34">
        <v>1</v>
      </c>
      <c r="D215" s="19">
        <v>1</v>
      </c>
      <c r="E215" s="15">
        <v>5</v>
      </c>
      <c r="F215" s="15">
        <v>5</v>
      </c>
      <c r="G215" s="35">
        <v>1</v>
      </c>
      <c r="H215" t="s">
        <v>304</v>
      </c>
      <c r="I215" t="s">
        <v>38</v>
      </c>
      <c r="J215" t="s">
        <v>38</v>
      </c>
      <c r="K215" t="s">
        <v>38</v>
      </c>
      <c r="L215" t="s">
        <v>38</v>
      </c>
    </row>
    <row r="216" spans="2:14">
      <c r="B216" s="33" t="s">
        <v>150</v>
      </c>
      <c r="C216" s="34">
        <v>1</v>
      </c>
      <c r="D216" s="19">
        <v>1</v>
      </c>
      <c r="E216" s="15">
        <v>5</v>
      </c>
      <c r="F216" s="15">
        <v>5</v>
      </c>
      <c r="G216" s="35">
        <v>1</v>
      </c>
      <c r="H216" t="s">
        <v>304</v>
      </c>
      <c r="I216" t="s">
        <v>38</v>
      </c>
      <c r="J216" t="s">
        <v>38</v>
      </c>
      <c r="K216" t="s">
        <v>38</v>
      </c>
      <c r="L216" t="s">
        <v>38</v>
      </c>
    </row>
    <row r="217" spans="2:14">
      <c r="B217" s="33" t="s">
        <v>167</v>
      </c>
      <c r="C217" s="34">
        <v>1</v>
      </c>
      <c r="D217" s="19">
        <v>0</v>
      </c>
      <c r="E217" s="15">
        <v>5</v>
      </c>
      <c r="F217" s="15">
        <v>5</v>
      </c>
      <c r="G217" s="35"/>
      <c r="H217" t="s">
        <v>303</v>
      </c>
      <c r="I217" t="s">
        <v>38</v>
      </c>
      <c r="J217" t="s">
        <v>38</v>
      </c>
      <c r="K217" t="s">
        <v>38</v>
      </c>
      <c r="L217" t="s">
        <v>38</v>
      </c>
    </row>
    <row r="218" spans="2:14">
      <c r="B218" s="33" t="s">
        <v>133</v>
      </c>
      <c r="C218" s="22">
        <v>1</v>
      </c>
      <c r="D218" s="19">
        <v>0</v>
      </c>
      <c r="E218" s="15">
        <v>5</v>
      </c>
      <c r="F218" s="15">
        <v>0</v>
      </c>
      <c r="G218" s="35"/>
      <c r="H218" t="s">
        <v>303</v>
      </c>
      <c r="I218" t="s">
        <v>38</v>
      </c>
      <c r="J218" t="s">
        <v>38</v>
      </c>
      <c r="K218" t="s">
        <v>38</v>
      </c>
      <c r="L218" t="s">
        <v>38</v>
      </c>
    </row>
    <row r="219" spans="2:14">
      <c r="B219" s="33" t="s">
        <v>171</v>
      </c>
      <c r="C219" s="34">
        <v>1</v>
      </c>
      <c r="D219" s="19">
        <v>0</v>
      </c>
      <c r="E219" s="15">
        <v>5</v>
      </c>
      <c r="F219" s="15">
        <v>5</v>
      </c>
      <c r="G219" s="35"/>
      <c r="H219" t="s">
        <v>303</v>
      </c>
      <c r="I219" t="s">
        <v>302</v>
      </c>
      <c r="J219" t="s">
        <v>38</v>
      </c>
      <c r="K219" t="s">
        <v>38</v>
      </c>
      <c r="L219" t="s">
        <v>38</v>
      </c>
    </row>
    <row r="220" spans="2:14">
      <c r="B220" s="33" t="s">
        <v>166</v>
      </c>
      <c r="C220" s="34">
        <v>1</v>
      </c>
      <c r="D220" s="19">
        <v>0</v>
      </c>
      <c r="E220" s="15">
        <v>5</v>
      </c>
      <c r="F220" s="15">
        <v>5</v>
      </c>
      <c r="G220" s="35"/>
      <c r="H220" t="s">
        <v>303</v>
      </c>
      <c r="I220" t="s">
        <v>302</v>
      </c>
      <c r="J220" t="s">
        <v>38</v>
      </c>
      <c r="K220" t="s">
        <v>38</v>
      </c>
      <c r="L220" t="s">
        <v>38</v>
      </c>
      <c r="M220" t="s">
        <v>300</v>
      </c>
    </row>
    <row r="221" spans="2:14">
      <c r="B221" s="33" t="s">
        <v>129</v>
      </c>
      <c r="C221" s="18">
        <v>11</v>
      </c>
      <c r="D221" s="19">
        <v>0</v>
      </c>
      <c r="E221" s="15">
        <v>5</v>
      </c>
      <c r="F221" s="15">
        <v>5</v>
      </c>
      <c r="G221" s="35"/>
      <c r="H221" t="s">
        <v>38</v>
      </c>
      <c r="I221" t="s">
        <v>38</v>
      </c>
      <c r="J221" t="s">
        <v>38</v>
      </c>
      <c r="K221" t="s">
        <v>38</v>
      </c>
      <c r="L221" t="s">
        <v>38</v>
      </c>
    </row>
    <row r="222" spans="2:14">
      <c r="B222" s="33" t="s">
        <v>129</v>
      </c>
      <c r="C222" s="18">
        <v>20</v>
      </c>
      <c r="D222" s="19">
        <v>0</v>
      </c>
      <c r="E222" s="15">
        <v>5</v>
      </c>
      <c r="F222" s="15">
        <v>0</v>
      </c>
      <c r="G222" s="35"/>
      <c r="H222" t="s">
        <v>303</v>
      </c>
      <c r="I222" t="s">
        <v>38</v>
      </c>
      <c r="J222" t="s">
        <v>38</v>
      </c>
      <c r="K222" t="s">
        <v>38</v>
      </c>
      <c r="L222" t="s">
        <v>38</v>
      </c>
    </row>
    <row r="223" spans="2:14">
      <c r="B223" s="33" t="s">
        <v>130</v>
      </c>
      <c r="C223" s="18">
        <v>11</v>
      </c>
      <c r="D223" s="19">
        <v>0</v>
      </c>
      <c r="E223" s="15">
        <v>5</v>
      </c>
      <c r="F223" s="15">
        <v>0</v>
      </c>
      <c r="G223" s="35"/>
      <c r="H223" t="s">
        <v>38</v>
      </c>
      <c r="I223" t="s">
        <v>38</v>
      </c>
      <c r="J223" t="s">
        <v>38</v>
      </c>
      <c r="K223" t="s">
        <v>38</v>
      </c>
      <c r="L223" t="s">
        <v>38</v>
      </c>
    </row>
    <row r="224" spans="2:14">
      <c r="B224" s="33" t="s">
        <v>130</v>
      </c>
      <c r="C224" s="18">
        <v>20</v>
      </c>
      <c r="D224" s="19"/>
      <c r="E224" s="15">
        <v>5</v>
      </c>
      <c r="F224" s="15">
        <v>0</v>
      </c>
      <c r="G224" s="35"/>
      <c r="H224" t="s">
        <v>303</v>
      </c>
      <c r="I224" t="s">
        <v>38</v>
      </c>
      <c r="J224" t="s">
        <v>38</v>
      </c>
      <c r="K224" t="s">
        <v>38</v>
      </c>
      <c r="L224" t="s">
        <v>38</v>
      </c>
    </row>
    <row r="225" spans="2:12">
      <c r="B225" s="33" t="s">
        <v>170</v>
      </c>
      <c r="C225" s="34">
        <v>2</v>
      </c>
      <c r="D225" s="19"/>
      <c r="E225" s="15">
        <v>5</v>
      </c>
      <c r="F225" s="15">
        <v>0</v>
      </c>
      <c r="G225" s="35"/>
      <c r="H225" t="s">
        <v>303</v>
      </c>
      <c r="I225" t="s">
        <v>38</v>
      </c>
      <c r="J225" t="s">
        <v>38</v>
      </c>
      <c r="K225" t="s">
        <v>38</v>
      </c>
      <c r="L225" t="s">
        <v>38</v>
      </c>
    </row>
    <row r="226" spans="2:12">
      <c r="B226" s="33" t="s">
        <v>129</v>
      </c>
      <c r="C226" s="18">
        <v>14</v>
      </c>
      <c r="D226" s="19"/>
      <c r="E226" s="15">
        <v>5</v>
      </c>
      <c r="F226" s="15"/>
      <c r="G226" s="35"/>
      <c r="H226" t="s">
        <v>304</v>
      </c>
      <c r="I226" t="s">
        <v>38</v>
      </c>
      <c r="J226" t="s">
        <v>38</v>
      </c>
      <c r="K226" t="s">
        <v>38</v>
      </c>
      <c r="L226" t="s">
        <v>38</v>
      </c>
    </row>
    <row r="227" spans="2:12">
      <c r="B227" s="33" t="s">
        <v>130</v>
      </c>
      <c r="C227" s="18">
        <v>14</v>
      </c>
      <c r="D227" s="19"/>
      <c r="E227" s="15">
        <v>5</v>
      </c>
      <c r="F227" s="15"/>
      <c r="G227" s="35"/>
      <c r="H227" t="s">
        <v>304</v>
      </c>
      <c r="I227" t="s">
        <v>38</v>
      </c>
      <c r="J227" t="s">
        <v>38</v>
      </c>
      <c r="K227" t="s">
        <v>38</v>
      </c>
      <c r="L227" t="s">
        <v>38</v>
      </c>
    </row>
    <row r="228" spans="2:12">
      <c r="B228" s="33" t="s">
        <v>64</v>
      </c>
      <c r="C228" s="34">
        <v>7</v>
      </c>
      <c r="D228" s="19"/>
      <c r="E228" s="15">
        <v>5</v>
      </c>
      <c r="F228" s="15"/>
      <c r="G228" s="35"/>
      <c r="H228" t="s">
        <v>303</v>
      </c>
      <c r="I228" t="s">
        <v>38</v>
      </c>
      <c r="J228" t="s">
        <v>38</v>
      </c>
      <c r="K228" t="s">
        <v>38</v>
      </c>
      <c r="L228" t="s">
        <v>38</v>
      </c>
    </row>
    <row r="229" spans="2:12">
      <c r="B229" s="33" t="s">
        <v>38</v>
      </c>
      <c r="C229" s="34">
        <v>1</v>
      </c>
      <c r="D229" s="19"/>
      <c r="E229" s="15">
        <v>5</v>
      </c>
      <c r="F229" s="15"/>
      <c r="G229" s="35"/>
      <c r="H229" t="s">
        <v>38</v>
      </c>
      <c r="I229" t="s">
        <v>38</v>
      </c>
      <c r="J229" t="s">
        <v>38</v>
      </c>
      <c r="K229" t="s">
        <v>38</v>
      </c>
      <c r="L229" t="s">
        <v>38</v>
      </c>
    </row>
    <row r="230" spans="2:12">
      <c r="B230" s="33" t="s">
        <v>38</v>
      </c>
      <c r="C230" s="34">
        <v>1</v>
      </c>
      <c r="D230" s="19"/>
      <c r="E230" s="15">
        <v>5</v>
      </c>
      <c r="F230" s="15"/>
      <c r="G230" s="35"/>
      <c r="H230" t="s">
        <v>38</v>
      </c>
      <c r="I230" t="s">
        <v>38</v>
      </c>
      <c r="J230" t="s">
        <v>38</v>
      </c>
      <c r="K230" t="s">
        <v>38</v>
      </c>
      <c r="L230" t="s">
        <v>38</v>
      </c>
    </row>
    <row r="231" spans="2:12">
      <c r="B231" s="33" t="s">
        <v>38</v>
      </c>
      <c r="C231" s="34">
        <v>1</v>
      </c>
      <c r="D231" s="19"/>
      <c r="E231" s="15">
        <v>5</v>
      </c>
      <c r="F231" s="15"/>
      <c r="G231" s="35"/>
      <c r="H231" t="s">
        <v>38</v>
      </c>
      <c r="I231" t="s">
        <v>38</v>
      </c>
      <c r="J231" t="s">
        <v>38</v>
      </c>
      <c r="K231" t="s">
        <v>38</v>
      </c>
      <c r="L231" t="s">
        <v>38</v>
      </c>
    </row>
    <row r="232" spans="2:12">
      <c r="B232" s="33" t="s">
        <v>38</v>
      </c>
      <c r="C232" s="34">
        <v>1</v>
      </c>
      <c r="D232" s="19"/>
      <c r="E232" s="15"/>
      <c r="F232" s="15"/>
      <c r="G232" s="35"/>
      <c r="H232" t="s">
        <v>38</v>
      </c>
      <c r="I232" t="s">
        <v>38</v>
      </c>
      <c r="J232" t="s">
        <v>38</v>
      </c>
      <c r="K232" t="s">
        <v>38</v>
      </c>
      <c r="L232" t="s">
        <v>38</v>
      </c>
    </row>
    <row r="233" spans="2:12">
      <c r="B233" s="33" t="s">
        <v>38</v>
      </c>
      <c r="C233" s="34">
        <v>1</v>
      </c>
      <c r="D233" s="19"/>
      <c r="E233" s="15"/>
      <c r="F233" s="15"/>
      <c r="G233" s="35"/>
      <c r="H233" t="s">
        <v>38</v>
      </c>
      <c r="I233" t="s">
        <v>38</v>
      </c>
      <c r="J233" t="s">
        <v>38</v>
      </c>
      <c r="K233" t="s">
        <v>38</v>
      </c>
      <c r="L233" t="s">
        <v>38</v>
      </c>
    </row>
    <row r="234" spans="2:12">
      <c r="B234" s="33" t="s">
        <v>38</v>
      </c>
      <c r="C234" s="34">
        <v>1</v>
      </c>
      <c r="D234" s="19"/>
      <c r="E234" s="15"/>
      <c r="F234" s="15"/>
      <c r="G234" s="35"/>
      <c r="H234" t="s">
        <v>38</v>
      </c>
      <c r="I234" t="s">
        <v>38</v>
      </c>
      <c r="J234" t="s">
        <v>38</v>
      </c>
      <c r="K234" t="s">
        <v>38</v>
      </c>
      <c r="L234" t="s">
        <v>38</v>
      </c>
    </row>
    <row r="235" spans="2:12">
      <c r="B235" s="33" t="s">
        <v>38</v>
      </c>
      <c r="C235" s="34">
        <v>1</v>
      </c>
      <c r="D235" s="19"/>
      <c r="E235" s="15"/>
      <c r="F235" s="15"/>
      <c r="G235" s="35"/>
      <c r="H235" t="s">
        <v>38</v>
      </c>
      <c r="I235" t="s">
        <v>38</v>
      </c>
      <c r="J235" t="s">
        <v>38</v>
      </c>
      <c r="K235" t="s">
        <v>38</v>
      </c>
      <c r="L235" t="s">
        <v>38</v>
      </c>
    </row>
    <row r="236" spans="2:12">
      <c r="B236" s="33" t="s">
        <v>38</v>
      </c>
      <c r="C236" s="34">
        <v>1</v>
      </c>
      <c r="D236" s="19"/>
      <c r="E236" s="15"/>
      <c r="F236" s="15"/>
      <c r="G236" s="35"/>
      <c r="H236" t="s">
        <v>38</v>
      </c>
      <c r="I236" t="s">
        <v>38</v>
      </c>
      <c r="J236" t="s">
        <v>38</v>
      </c>
      <c r="K236" t="s">
        <v>38</v>
      </c>
      <c r="L236" t="s">
        <v>38</v>
      </c>
    </row>
    <row r="237" spans="2:12">
      <c r="B237" s="33" t="s">
        <v>38</v>
      </c>
      <c r="C237" s="34">
        <v>1</v>
      </c>
      <c r="D237" s="19"/>
      <c r="E237" s="15"/>
      <c r="F237" s="15"/>
      <c r="G237" s="35"/>
      <c r="H237" t="s">
        <v>38</v>
      </c>
      <c r="I237" t="s">
        <v>38</v>
      </c>
      <c r="J237" t="s">
        <v>38</v>
      </c>
      <c r="K237" t="s">
        <v>38</v>
      </c>
      <c r="L237" t="s">
        <v>38</v>
      </c>
    </row>
    <row r="238" spans="2:12">
      <c r="B238" s="33" t="s">
        <v>38</v>
      </c>
      <c r="C238" s="34">
        <v>1</v>
      </c>
      <c r="D238" s="19"/>
      <c r="E238" s="15"/>
      <c r="F238" s="15"/>
      <c r="G238" s="35"/>
      <c r="H238" t="s">
        <v>38</v>
      </c>
      <c r="I238" t="s">
        <v>38</v>
      </c>
      <c r="J238" t="s">
        <v>38</v>
      </c>
      <c r="K238" t="s">
        <v>38</v>
      </c>
      <c r="L238" t="s">
        <v>38</v>
      </c>
    </row>
    <row r="239" spans="2:12">
      <c r="B239" s="33" t="s">
        <v>38</v>
      </c>
      <c r="C239" s="34">
        <v>1</v>
      </c>
      <c r="D239" s="19"/>
      <c r="E239" s="15"/>
      <c r="F239" s="15"/>
      <c r="G239" s="35"/>
      <c r="H239" t="s">
        <v>38</v>
      </c>
      <c r="I239" t="s">
        <v>38</v>
      </c>
      <c r="J239" t="s">
        <v>38</v>
      </c>
      <c r="K239" t="s">
        <v>38</v>
      </c>
      <c r="L239" t="s">
        <v>38</v>
      </c>
    </row>
    <row r="240" spans="2:12">
      <c r="B240" s="33" t="s">
        <v>38</v>
      </c>
      <c r="C240" s="34">
        <v>1</v>
      </c>
      <c r="D240" s="19"/>
      <c r="E240" s="15"/>
      <c r="F240" s="15"/>
      <c r="G240" s="35"/>
      <c r="H240" t="s">
        <v>38</v>
      </c>
      <c r="I240" t="s">
        <v>38</v>
      </c>
      <c r="J240" t="s">
        <v>38</v>
      </c>
      <c r="K240" t="s">
        <v>38</v>
      </c>
      <c r="L240" t="s">
        <v>38</v>
      </c>
    </row>
    <row r="241" spans="2:12">
      <c r="B241" s="33" t="s">
        <v>38</v>
      </c>
      <c r="C241" s="34">
        <v>1</v>
      </c>
      <c r="D241" s="19"/>
      <c r="E241" s="15"/>
      <c r="F241" s="15"/>
      <c r="G241" s="35"/>
      <c r="H241" t="s">
        <v>38</v>
      </c>
      <c r="I241" t="s">
        <v>38</v>
      </c>
      <c r="J241" t="s">
        <v>38</v>
      </c>
      <c r="K241" t="s">
        <v>38</v>
      </c>
      <c r="L241" t="s">
        <v>38</v>
      </c>
    </row>
    <row r="242" spans="2:12">
      <c r="B242" s="33" t="s">
        <v>38</v>
      </c>
      <c r="C242" s="34">
        <v>1</v>
      </c>
      <c r="D242" s="19"/>
      <c r="E242" s="15"/>
      <c r="F242" s="15"/>
      <c r="G242" s="35"/>
      <c r="H242" t="s">
        <v>38</v>
      </c>
      <c r="I242" t="s">
        <v>38</v>
      </c>
      <c r="J242" t="s">
        <v>38</v>
      </c>
      <c r="K242" t="s">
        <v>38</v>
      </c>
      <c r="L242" t="s">
        <v>38</v>
      </c>
    </row>
    <row r="243" spans="2:12">
      <c r="B243" s="33" t="s">
        <v>38</v>
      </c>
      <c r="C243" s="34">
        <v>1</v>
      </c>
      <c r="D243" s="19"/>
      <c r="E243" s="15"/>
      <c r="F243" s="15"/>
      <c r="G243" s="35"/>
      <c r="H243" t="s">
        <v>38</v>
      </c>
      <c r="I243" t="s">
        <v>38</v>
      </c>
      <c r="J243" t="s">
        <v>38</v>
      </c>
      <c r="K243" t="s">
        <v>38</v>
      </c>
      <c r="L243" t="s">
        <v>38</v>
      </c>
    </row>
    <row r="244" spans="2:12">
      <c r="B244" s="33" t="s">
        <v>38</v>
      </c>
      <c r="C244" s="34">
        <v>1</v>
      </c>
      <c r="D244" s="19"/>
      <c r="E244" s="15"/>
      <c r="F244" s="15"/>
      <c r="G244" s="35"/>
      <c r="H244" t="s">
        <v>38</v>
      </c>
      <c r="I244" t="s">
        <v>38</v>
      </c>
      <c r="J244" t="s">
        <v>38</v>
      </c>
      <c r="K244" t="s">
        <v>38</v>
      </c>
      <c r="L244" t="s">
        <v>38</v>
      </c>
    </row>
    <row r="245" spans="2:12">
      <c r="B245" s="33" t="s">
        <v>38</v>
      </c>
      <c r="C245" s="34">
        <v>1</v>
      </c>
      <c r="D245" s="19"/>
      <c r="E245" s="15"/>
      <c r="F245" s="15"/>
      <c r="G245" s="35"/>
      <c r="H245" t="s">
        <v>38</v>
      </c>
      <c r="I245" t="s">
        <v>38</v>
      </c>
      <c r="J245" t="s">
        <v>38</v>
      </c>
      <c r="K245" t="s">
        <v>38</v>
      </c>
      <c r="L245" t="s">
        <v>38</v>
      </c>
    </row>
    <row r="246" spans="2:12">
      <c r="B246" s="33" t="s">
        <v>38</v>
      </c>
      <c r="C246" s="34">
        <v>1</v>
      </c>
      <c r="D246" s="19"/>
      <c r="E246" s="15"/>
      <c r="F246" s="15"/>
      <c r="G246" s="35"/>
      <c r="H246" t="s">
        <v>38</v>
      </c>
      <c r="I246" t="s">
        <v>38</v>
      </c>
      <c r="J246" t="s">
        <v>38</v>
      </c>
      <c r="K246" t="s">
        <v>38</v>
      </c>
      <c r="L246" t="s">
        <v>38</v>
      </c>
    </row>
    <row r="247" spans="2:12">
      <c r="B247" s="33" t="s">
        <v>38</v>
      </c>
      <c r="C247" s="34">
        <v>1</v>
      </c>
      <c r="D247" s="19"/>
      <c r="E247" s="15"/>
      <c r="F247" s="15"/>
      <c r="G247" s="35"/>
      <c r="H247" t="s">
        <v>38</v>
      </c>
      <c r="I247" t="s">
        <v>38</v>
      </c>
      <c r="J247" t="s">
        <v>38</v>
      </c>
      <c r="K247" t="s">
        <v>38</v>
      </c>
      <c r="L247" t="s">
        <v>38</v>
      </c>
    </row>
    <row r="248" spans="2:12">
      <c r="B248" s="33" t="s">
        <v>38</v>
      </c>
      <c r="C248" s="34">
        <v>1</v>
      </c>
      <c r="D248" s="19"/>
      <c r="E248" s="15"/>
      <c r="F248" s="15"/>
      <c r="G248" s="35"/>
      <c r="H248" t="s">
        <v>38</v>
      </c>
      <c r="I248" t="s">
        <v>38</v>
      </c>
      <c r="J248" t="s">
        <v>38</v>
      </c>
      <c r="K248" t="s">
        <v>38</v>
      </c>
      <c r="L248" t="s">
        <v>38</v>
      </c>
    </row>
    <row r="249" spans="2:12">
      <c r="B249" s="33" t="s">
        <v>38</v>
      </c>
      <c r="C249" s="34">
        <v>1</v>
      </c>
      <c r="D249" s="19"/>
      <c r="E249" s="15"/>
      <c r="F249" s="15"/>
      <c r="G249" s="35"/>
      <c r="H249" t="s">
        <v>38</v>
      </c>
      <c r="I249" t="s">
        <v>38</v>
      </c>
      <c r="J249" t="s">
        <v>38</v>
      </c>
      <c r="K249" t="s">
        <v>38</v>
      </c>
      <c r="L249" t="s">
        <v>38</v>
      </c>
    </row>
    <row r="250" spans="2:12">
      <c r="B250" s="33" t="s">
        <v>38</v>
      </c>
      <c r="C250" s="34">
        <v>1</v>
      </c>
      <c r="D250" s="19"/>
      <c r="E250" s="15"/>
      <c r="F250" s="15"/>
      <c r="G250" s="35"/>
      <c r="H250" t="s">
        <v>38</v>
      </c>
      <c r="I250" t="s">
        <v>38</v>
      </c>
      <c r="J250" t="s">
        <v>38</v>
      </c>
      <c r="K250" t="s">
        <v>38</v>
      </c>
      <c r="L250" t="s">
        <v>38</v>
      </c>
    </row>
    <row r="251" spans="2:12">
      <c r="B251" s="33" t="s">
        <v>38</v>
      </c>
      <c r="C251" s="34">
        <v>1</v>
      </c>
      <c r="D251" s="19"/>
      <c r="E251" s="15"/>
      <c r="F251" s="15"/>
      <c r="G251" s="35"/>
      <c r="H251" t="s">
        <v>38</v>
      </c>
      <c r="I251" t="s">
        <v>38</v>
      </c>
      <c r="J251" t="s">
        <v>38</v>
      </c>
      <c r="K251" t="s">
        <v>38</v>
      </c>
      <c r="L251" t="s">
        <v>38</v>
      </c>
    </row>
    <row r="252" spans="2:12">
      <c r="B252" s="33" t="s">
        <v>38</v>
      </c>
      <c r="C252" s="34">
        <v>1</v>
      </c>
      <c r="D252" s="19"/>
      <c r="E252" s="15"/>
      <c r="F252" s="15"/>
      <c r="G252" s="35"/>
      <c r="H252" t="s">
        <v>38</v>
      </c>
      <c r="I252" t="s">
        <v>38</v>
      </c>
      <c r="J252" t="s">
        <v>38</v>
      </c>
      <c r="K252" t="s">
        <v>38</v>
      </c>
      <c r="L252" t="s">
        <v>38</v>
      </c>
    </row>
    <row r="253" spans="2:12">
      <c r="B253" s="33" t="s">
        <v>38</v>
      </c>
      <c r="C253" s="34">
        <v>1</v>
      </c>
      <c r="D253" s="19"/>
      <c r="E253" s="15"/>
      <c r="F253" s="15"/>
      <c r="G253" s="35"/>
      <c r="H253" t="s">
        <v>38</v>
      </c>
      <c r="I253" t="s">
        <v>38</v>
      </c>
      <c r="J253" t="s">
        <v>38</v>
      </c>
      <c r="K253" t="s">
        <v>38</v>
      </c>
      <c r="L253" t="s">
        <v>38</v>
      </c>
    </row>
    <row r="254" spans="2:12">
      <c r="B254" s="33" t="s">
        <v>38</v>
      </c>
      <c r="C254" s="34">
        <v>1</v>
      </c>
      <c r="D254" s="19"/>
      <c r="E254" s="15"/>
      <c r="F254" s="15"/>
      <c r="G254" s="35"/>
      <c r="H254" t="s">
        <v>38</v>
      </c>
      <c r="I254" t="s">
        <v>38</v>
      </c>
      <c r="J254" t="s">
        <v>38</v>
      </c>
      <c r="K254" t="s">
        <v>38</v>
      </c>
      <c r="L254" t="s">
        <v>38</v>
      </c>
    </row>
    <row r="255" spans="2:12">
      <c r="B255" s="33" t="s">
        <v>38</v>
      </c>
      <c r="C255" s="34">
        <v>1</v>
      </c>
      <c r="D255" s="19"/>
      <c r="E255" s="15"/>
      <c r="F255" s="15"/>
      <c r="G255" s="35"/>
      <c r="H255" t="s">
        <v>38</v>
      </c>
      <c r="I255" t="s">
        <v>38</v>
      </c>
      <c r="J255" t="s">
        <v>38</v>
      </c>
      <c r="K255" t="s">
        <v>38</v>
      </c>
      <c r="L255" t="s">
        <v>38</v>
      </c>
    </row>
    <row r="256" spans="2:12">
      <c r="B256" s="33" t="s">
        <v>38</v>
      </c>
      <c r="C256" s="34">
        <v>1</v>
      </c>
      <c r="D256" s="19"/>
      <c r="E256" s="15"/>
      <c r="F256" s="15"/>
      <c r="G256" s="35"/>
      <c r="H256" t="s">
        <v>38</v>
      </c>
      <c r="I256" t="s">
        <v>38</v>
      </c>
      <c r="J256" t="s">
        <v>38</v>
      </c>
      <c r="K256" t="s">
        <v>38</v>
      </c>
      <c r="L256" t="s">
        <v>38</v>
      </c>
    </row>
    <row r="257" spans="2:12">
      <c r="B257" s="33" t="s">
        <v>38</v>
      </c>
      <c r="C257" s="34">
        <v>1</v>
      </c>
      <c r="D257" s="19"/>
      <c r="E257" s="15"/>
      <c r="F257" s="15"/>
      <c r="G257" s="35"/>
      <c r="H257" t="s">
        <v>38</v>
      </c>
      <c r="I257" t="s">
        <v>38</v>
      </c>
      <c r="J257" t="s">
        <v>38</v>
      </c>
      <c r="K257" t="s">
        <v>38</v>
      </c>
      <c r="L257" t="s">
        <v>38</v>
      </c>
    </row>
    <row r="258" spans="2:12">
      <c r="B258" s="33" t="s">
        <v>38</v>
      </c>
      <c r="C258" s="34">
        <v>1</v>
      </c>
      <c r="D258" s="19"/>
      <c r="E258" s="15"/>
      <c r="F258" s="15"/>
      <c r="G258" s="35"/>
      <c r="H258" t="s">
        <v>38</v>
      </c>
      <c r="I258" t="s">
        <v>38</v>
      </c>
      <c r="J258" t="s">
        <v>38</v>
      </c>
      <c r="K258" t="s">
        <v>38</v>
      </c>
      <c r="L258" t="s">
        <v>38</v>
      </c>
    </row>
    <row r="259" spans="2:12">
      <c r="B259" s="33" t="s">
        <v>38</v>
      </c>
      <c r="C259" s="34">
        <v>1</v>
      </c>
      <c r="D259" s="19"/>
      <c r="E259" s="15"/>
      <c r="F259" s="15"/>
      <c r="G259" s="35"/>
      <c r="H259" t="s">
        <v>38</v>
      </c>
      <c r="I259" t="s">
        <v>38</v>
      </c>
      <c r="J259" t="s">
        <v>38</v>
      </c>
      <c r="K259" t="s">
        <v>38</v>
      </c>
      <c r="L259" t="s">
        <v>38</v>
      </c>
    </row>
    <row r="260" spans="2:12">
      <c r="B260" s="33" t="s">
        <v>38</v>
      </c>
      <c r="C260" s="34">
        <v>1</v>
      </c>
      <c r="D260" s="19"/>
      <c r="E260" s="15"/>
      <c r="F260" s="15"/>
      <c r="G260" s="35"/>
      <c r="H260" t="s">
        <v>38</v>
      </c>
      <c r="I260" t="s">
        <v>38</v>
      </c>
      <c r="J260" t="s">
        <v>38</v>
      </c>
      <c r="K260" t="s">
        <v>38</v>
      </c>
      <c r="L260" t="s">
        <v>38</v>
      </c>
    </row>
    <row r="261" spans="2:12">
      <c r="B261" s="33" t="s">
        <v>38</v>
      </c>
      <c r="C261" s="34">
        <v>1</v>
      </c>
      <c r="D261" s="19"/>
      <c r="E261" s="15"/>
      <c r="F261" s="15"/>
      <c r="G261" s="35"/>
      <c r="H261" t="s">
        <v>38</v>
      </c>
      <c r="I261" t="s">
        <v>38</v>
      </c>
      <c r="J261" t="s">
        <v>38</v>
      </c>
      <c r="K261" t="s">
        <v>38</v>
      </c>
      <c r="L261" t="s">
        <v>38</v>
      </c>
    </row>
    <row r="262" spans="2:12">
      <c r="B262" s="33" t="s">
        <v>38</v>
      </c>
      <c r="C262" s="34">
        <v>1</v>
      </c>
      <c r="D262" s="19"/>
      <c r="E262" s="15"/>
      <c r="F262" s="15"/>
      <c r="G262" s="35"/>
      <c r="H262" t="s">
        <v>38</v>
      </c>
      <c r="I262" t="s">
        <v>38</v>
      </c>
      <c r="J262" t="s">
        <v>38</v>
      </c>
      <c r="K262" t="s">
        <v>38</v>
      </c>
      <c r="L262" t="s">
        <v>38</v>
      </c>
    </row>
    <row r="263" spans="2:12">
      <c r="B263" s="33" t="s">
        <v>38</v>
      </c>
      <c r="C263" s="34">
        <v>1</v>
      </c>
      <c r="D263" s="19"/>
      <c r="E263" s="15"/>
      <c r="F263" s="15"/>
      <c r="G263" s="35"/>
      <c r="H263" t="s">
        <v>38</v>
      </c>
      <c r="I263" t="s">
        <v>38</v>
      </c>
      <c r="J263" t="s">
        <v>38</v>
      </c>
      <c r="K263" t="s">
        <v>38</v>
      </c>
      <c r="L263" t="s">
        <v>38</v>
      </c>
    </row>
    <row r="264" spans="2:12">
      <c r="B264" s="33" t="s">
        <v>38</v>
      </c>
      <c r="C264" s="34">
        <v>1</v>
      </c>
      <c r="D264" s="19"/>
      <c r="E264" s="15"/>
      <c r="F264" s="15"/>
      <c r="G264" s="35"/>
      <c r="H264" t="s">
        <v>38</v>
      </c>
      <c r="I264" t="s">
        <v>38</v>
      </c>
      <c r="J264" t="s">
        <v>38</v>
      </c>
      <c r="K264" t="s">
        <v>38</v>
      </c>
      <c r="L264" t="s">
        <v>38</v>
      </c>
    </row>
    <row r="265" spans="2:12">
      <c r="B265" s="33" t="s">
        <v>38</v>
      </c>
      <c r="C265" s="34">
        <v>1</v>
      </c>
      <c r="D265" s="19"/>
      <c r="E265" s="15"/>
      <c r="F265" s="15"/>
      <c r="G265" s="35"/>
      <c r="H265" t="s">
        <v>38</v>
      </c>
      <c r="I265" t="s">
        <v>38</v>
      </c>
      <c r="J265" t="s">
        <v>38</v>
      </c>
      <c r="K265" t="s">
        <v>38</v>
      </c>
      <c r="L265" t="s">
        <v>38</v>
      </c>
    </row>
    <row r="266" spans="2:12">
      <c r="B266" s="33" t="s">
        <v>38</v>
      </c>
      <c r="C266" s="34">
        <v>1</v>
      </c>
      <c r="D266" s="19"/>
      <c r="E266" s="15"/>
      <c r="F266" s="15"/>
      <c r="G266" s="35"/>
      <c r="H266" t="s">
        <v>38</v>
      </c>
      <c r="I266" t="s">
        <v>38</v>
      </c>
      <c r="J266" t="s">
        <v>38</v>
      </c>
      <c r="K266" t="s">
        <v>38</v>
      </c>
      <c r="L266" t="s">
        <v>38</v>
      </c>
    </row>
    <row r="267" spans="2:12">
      <c r="B267" s="33" t="s">
        <v>38</v>
      </c>
      <c r="C267" s="34">
        <v>1</v>
      </c>
      <c r="D267" s="19"/>
      <c r="E267" s="15"/>
      <c r="F267" s="15"/>
      <c r="G267" s="35"/>
      <c r="H267" t="s">
        <v>38</v>
      </c>
      <c r="I267" t="s">
        <v>38</v>
      </c>
      <c r="J267" t="s">
        <v>38</v>
      </c>
      <c r="K267" t="s">
        <v>38</v>
      </c>
      <c r="L267" t="s">
        <v>38</v>
      </c>
    </row>
    <row r="268" spans="2:12">
      <c r="B268" s="33" t="s">
        <v>38</v>
      </c>
      <c r="C268" s="34">
        <v>1</v>
      </c>
      <c r="D268" s="19"/>
      <c r="E268" s="15"/>
      <c r="F268" s="15"/>
      <c r="G268" s="35"/>
      <c r="H268" t="s">
        <v>38</v>
      </c>
      <c r="I268" t="s">
        <v>38</v>
      </c>
      <c r="J268" t="s">
        <v>38</v>
      </c>
      <c r="K268" t="s">
        <v>38</v>
      </c>
      <c r="L268" t="s">
        <v>38</v>
      </c>
    </row>
    <row r="269" spans="2:12">
      <c r="B269" s="33" t="s">
        <v>38</v>
      </c>
      <c r="C269" s="34">
        <v>1</v>
      </c>
      <c r="D269" s="19"/>
      <c r="E269" s="15"/>
      <c r="F269" s="15"/>
      <c r="G269" s="35"/>
      <c r="H269" t="s">
        <v>38</v>
      </c>
      <c r="I269" t="s">
        <v>38</v>
      </c>
      <c r="J269" t="s">
        <v>38</v>
      </c>
      <c r="K269" t="s">
        <v>38</v>
      </c>
      <c r="L269" t="s">
        <v>38</v>
      </c>
    </row>
    <row r="270" spans="2:12">
      <c r="B270" s="33" t="s">
        <v>38</v>
      </c>
      <c r="C270" s="34">
        <v>1</v>
      </c>
      <c r="D270" s="19"/>
      <c r="E270" s="15"/>
      <c r="F270" s="15"/>
      <c r="G270" s="35"/>
      <c r="H270" t="s">
        <v>38</v>
      </c>
      <c r="I270" t="s">
        <v>38</v>
      </c>
      <c r="J270" t="s">
        <v>38</v>
      </c>
      <c r="K270" t="s">
        <v>38</v>
      </c>
      <c r="L270" t="s">
        <v>38</v>
      </c>
    </row>
    <row r="271" spans="2:12">
      <c r="B271" s="33" t="s">
        <v>38</v>
      </c>
      <c r="C271" s="34">
        <v>1</v>
      </c>
      <c r="D271" s="19"/>
      <c r="E271" s="15"/>
      <c r="F271" s="15"/>
      <c r="G271" s="35"/>
      <c r="H271" t="s">
        <v>38</v>
      </c>
      <c r="I271" t="s">
        <v>38</v>
      </c>
      <c r="J271" t="s">
        <v>38</v>
      </c>
      <c r="K271" t="s">
        <v>38</v>
      </c>
      <c r="L271" t="s">
        <v>38</v>
      </c>
    </row>
    <row r="272" spans="2:12">
      <c r="B272" s="33" t="s">
        <v>38</v>
      </c>
      <c r="C272" s="34">
        <v>1</v>
      </c>
      <c r="D272" s="19"/>
      <c r="E272" s="15"/>
      <c r="F272" s="15"/>
      <c r="G272" s="35"/>
      <c r="H272" t="s">
        <v>38</v>
      </c>
      <c r="I272" t="s">
        <v>38</v>
      </c>
      <c r="J272" t="s">
        <v>38</v>
      </c>
      <c r="K272" t="s">
        <v>38</v>
      </c>
      <c r="L272" t="s">
        <v>38</v>
      </c>
    </row>
    <row r="273" ht="15.15" spans="1:16">
      <c r="B273" s="36" t="s">
        <v>38</v>
      </c>
      <c r="C273" s="37">
        <v>1</v>
      </c>
      <c r="D273" s="23"/>
      <c r="E273" s="24"/>
      <c r="F273" s="24"/>
      <c r="G273" s="38"/>
      <c r="H273" t="s">
        <v>38</v>
      </c>
      <c r="I273" t="s">
        <v>38</v>
      </c>
      <c r="J273" t="s">
        <v>38</v>
      </c>
      <c r="K273" t="s">
        <v>38</v>
      </c>
      <c r="L273" t="s">
        <v>38</v>
      </c>
    </row>
    <row r="274" ht="15.15"/>
    <row r="275" spans="1:16">
      <c r="A275" s="27" t="s">
        <v>94</v>
      </c>
      <c r="B275" s="28" t="s">
        <v>187</v>
      </c>
      <c r="C275" s="29">
        <v>1</v>
      </c>
      <c r="D275" s="19"/>
      <c r="E275" s="15">
        <v>0</v>
      </c>
      <c r="F275" s="15"/>
      <c r="G275" s="35"/>
      <c r="H275" t="s">
        <v>38</v>
      </c>
      <c r="I275" t="s">
        <v>322</v>
      </c>
      <c r="J275" t="s">
        <v>38</v>
      </c>
      <c r="K275" t="s">
        <v>38</v>
      </c>
      <c r="L275" t="s">
        <v>38</v>
      </c>
      <c r="O275" s="11">
        <v>36</v>
      </c>
      <c r="P275" s="39">
        <v>46457.24</v>
      </c>
    </row>
    <row r="276" spans="1:16">
      <c r="A276" s="11"/>
      <c r="B276" s="33" t="s">
        <v>175</v>
      </c>
      <c r="C276" s="34">
        <v>1</v>
      </c>
      <c r="D276" s="19"/>
      <c r="E276" s="15">
        <v>1</v>
      </c>
      <c r="F276" s="15"/>
      <c r="G276" s="35"/>
      <c r="H276" t="s">
        <v>323</v>
      </c>
      <c r="I276" t="s">
        <v>322</v>
      </c>
      <c r="J276" t="s">
        <v>38</v>
      </c>
      <c r="K276" t="s">
        <v>324</v>
      </c>
      <c r="L276" s="21" t="s">
        <v>38</v>
      </c>
      <c r="M276" s="21" t="s">
        <v>300</v>
      </c>
      <c r="N276" s="21"/>
    </row>
    <row r="277" spans="1:16">
      <c r="B277" s="33" t="s">
        <v>176</v>
      </c>
      <c r="C277" s="34">
        <v>1</v>
      </c>
      <c r="D277" s="19"/>
      <c r="E277" s="15">
        <v>1</v>
      </c>
      <c r="F277" s="15"/>
      <c r="G277" s="35"/>
      <c r="H277" t="s">
        <v>323</v>
      </c>
      <c r="I277" t="s">
        <v>322</v>
      </c>
      <c r="J277" t="s">
        <v>38</v>
      </c>
      <c r="K277" t="s">
        <v>324</v>
      </c>
      <c r="L277" s="21" t="s">
        <v>38</v>
      </c>
      <c r="M277" s="21" t="s">
        <v>300</v>
      </c>
      <c r="N277" s="21"/>
    </row>
    <row r="278" spans="1:16">
      <c r="B278" s="33" t="s">
        <v>177</v>
      </c>
      <c r="C278" s="34">
        <v>1</v>
      </c>
      <c r="D278" s="19"/>
      <c r="E278" s="15">
        <v>1</v>
      </c>
      <c r="F278" s="15"/>
      <c r="G278" s="35"/>
      <c r="H278" t="s">
        <v>323</v>
      </c>
      <c r="I278" t="s">
        <v>322</v>
      </c>
      <c r="J278" t="s">
        <v>38</v>
      </c>
      <c r="K278" t="s">
        <v>324</v>
      </c>
      <c r="L278" s="21" t="s">
        <v>38</v>
      </c>
      <c r="M278" s="21" t="s">
        <v>300</v>
      </c>
      <c r="N278" s="21"/>
    </row>
    <row r="279" spans="1:16">
      <c r="B279" s="33" t="s">
        <v>178</v>
      </c>
      <c r="C279" s="34">
        <v>1</v>
      </c>
      <c r="D279" s="19"/>
      <c r="E279" s="15">
        <v>2</v>
      </c>
      <c r="F279" s="15"/>
      <c r="G279" s="35"/>
      <c r="H279" t="s">
        <v>323</v>
      </c>
      <c r="I279" t="s">
        <v>322</v>
      </c>
      <c r="J279" t="s">
        <v>38</v>
      </c>
      <c r="K279" t="s">
        <v>324</v>
      </c>
      <c r="L279" s="21" t="s">
        <v>38</v>
      </c>
      <c r="M279" s="21" t="s">
        <v>300</v>
      </c>
      <c r="N279" s="21"/>
    </row>
    <row r="280" spans="1:16">
      <c r="B280" s="33" t="s">
        <v>185</v>
      </c>
      <c r="C280" s="34">
        <v>7</v>
      </c>
      <c r="D280" s="19"/>
      <c r="E280" s="15">
        <v>1</v>
      </c>
      <c r="F280" s="15"/>
      <c r="G280" s="35"/>
      <c r="H280" t="s">
        <v>186</v>
      </c>
      <c r="I280" t="s">
        <v>322</v>
      </c>
      <c r="J280" t="s">
        <v>323</v>
      </c>
      <c r="K280" t="s">
        <v>324</v>
      </c>
      <c r="L280" s="21" t="s">
        <v>38</v>
      </c>
      <c r="M280" s="21" t="s">
        <v>300</v>
      </c>
      <c r="N280" s="21"/>
    </row>
    <row r="281" spans="1:16">
      <c r="B281" s="33" t="s">
        <v>175</v>
      </c>
      <c r="C281" s="34">
        <v>1</v>
      </c>
      <c r="D281" s="19"/>
      <c r="E281" s="15">
        <v>2</v>
      </c>
      <c r="F281" s="15"/>
      <c r="G281" s="35"/>
      <c r="H281" t="s">
        <v>323</v>
      </c>
      <c r="I281" t="s">
        <v>322</v>
      </c>
      <c r="J281" t="s">
        <v>38</v>
      </c>
      <c r="K281" t="s">
        <v>324</v>
      </c>
      <c r="L281" s="21" t="s">
        <v>38</v>
      </c>
      <c r="M281" s="21" t="s">
        <v>300</v>
      </c>
      <c r="N281" s="21"/>
    </row>
    <row r="282" spans="1:16">
      <c r="B282" s="33" t="s">
        <v>176</v>
      </c>
      <c r="C282" s="34">
        <v>1</v>
      </c>
      <c r="D282" s="19"/>
      <c r="E282" s="15">
        <v>2</v>
      </c>
      <c r="F282" s="15"/>
      <c r="G282" s="35"/>
      <c r="H282" t="s">
        <v>323</v>
      </c>
      <c r="I282" t="s">
        <v>322</v>
      </c>
      <c r="J282" t="s">
        <v>38</v>
      </c>
      <c r="K282" t="s">
        <v>324</v>
      </c>
      <c r="L282" t="s">
        <v>38</v>
      </c>
    </row>
    <row r="283" spans="1:16">
      <c r="B283" s="33" t="s">
        <v>177</v>
      </c>
      <c r="C283" s="34">
        <v>1</v>
      </c>
      <c r="D283" s="19"/>
      <c r="E283" s="15">
        <v>3</v>
      </c>
      <c r="F283" s="15"/>
      <c r="G283" s="35"/>
      <c r="H283" t="s">
        <v>323</v>
      </c>
      <c r="I283" t="s">
        <v>322</v>
      </c>
      <c r="J283" t="s">
        <v>38</v>
      </c>
      <c r="K283" t="s">
        <v>324</v>
      </c>
      <c r="L283" t="s">
        <v>38</v>
      </c>
    </row>
    <row r="284" spans="1:16">
      <c r="B284" s="33" t="s">
        <v>178</v>
      </c>
      <c r="C284" s="34">
        <v>1</v>
      </c>
      <c r="D284" s="19"/>
      <c r="E284" s="15">
        <v>3</v>
      </c>
      <c r="F284" s="15"/>
      <c r="G284" s="35"/>
      <c r="H284" t="s">
        <v>323</v>
      </c>
      <c r="I284" t="s">
        <v>322</v>
      </c>
      <c r="J284" t="s">
        <v>38</v>
      </c>
      <c r="K284" t="s">
        <v>324</v>
      </c>
      <c r="L284" t="s">
        <v>38</v>
      </c>
    </row>
    <row r="285" spans="1:16">
      <c r="B285" s="33" t="s">
        <v>185</v>
      </c>
      <c r="C285" s="34">
        <v>7</v>
      </c>
      <c r="D285" s="19"/>
      <c r="E285" s="15">
        <v>3</v>
      </c>
      <c r="F285" s="15"/>
      <c r="G285" s="35"/>
      <c r="H285" t="s">
        <v>186</v>
      </c>
      <c r="I285" t="s">
        <v>322</v>
      </c>
      <c r="J285" t="s">
        <v>323</v>
      </c>
      <c r="K285" t="s">
        <v>324</v>
      </c>
      <c r="L285" t="s">
        <v>38</v>
      </c>
    </row>
    <row r="286" spans="1:16">
      <c r="B286" s="33" t="s">
        <v>179</v>
      </c>
      <c r="C286" s="34">
        <v>1</v>
      </c>
      <c r="D286" s="19"/>
      <c r="E286" s="15">
        <v>4</v>
      </c>
      <c r="F286" s="15"/>
      <c r="G286" s="35"/>
      <c r="H286" t="s">
        <v>325</v>
      </c>
      <c r="I286" t="s">
        <v>326</v>
      </c>
      <c r="J286" t="s">
        <v>322</v>
      </c>
      <c r="K286" t="s">
        <v>324</v>
      </c>
      <c r="L286" t="s">
        <v>38</v>
      </c>
    </row>
    <row r="287" spans="1:16">
      <c r="B287" s="33" t="s">
        <v>180</v>
      </c>
      <c r="C287" s="34">
        <v>1</v>
      </c>
      <c r="D287" s="19"/>
      <c r="E287" s="15">
        <v>4</v>
      </c>
      <c r="F287" s="15"/>
      <c r="G287" s="35"/>
      <c r="H287" t="s">
        <v>325</v>
      </c>
      <c r="I287" t="s">
        <v>326</v>
      </c>
      <c r="J287" t="s">
        <v>322</v>
      </c>
      <c r="K287" t="s">
        <v>324</v>
      </c>
      <c r="L287" t="s">
        <v>38</v>
      </c>
    </row>
    <row r="288" spans="1:16">
      <c r="B288" s="33" t="s">
        <v>181</v>
      </c>
      <c r="C288" s="34">
        <v>1</v>
      </c>
      <c r="D288" s="19"/>
      <c r="E288" s="15">
        <v>4</v>
      </c>
      <c r="F288" s="15"/>
      <c r="G288" s="35"/>
      <c r="H288" t="s">
        <v>325</v>
      </c>
      <c r="I288" t="s">
        <v>326</v>
      </c>
      <c r="J288" t="s">
        <v>322</v>
      </c>
      <c r="K288" t="s">
        <v>324</v>
      </c>
      <c r="L288" t="s">
        <v>38</v>
      </c>
    </row>
    <row r="289" spans="2:14">
      <c r="B289" s="33" t="s">
        <v>182</v>
      </c>
      <c r="C289" s="34">
        <v>1</v>
      </c>
      <c r="D289" s="19"/>
      <c r="E289" s="15">
        <v>4</v>
      </c>
      <c r="F289" s="15"/>
      <c r="G289" s="35"/>
      <c r="H289" t="s">
        <v>325</v>
      </c>
      <c r="I289" t="s">
        <v>326</v>
      </c>
      <c r="J289" t="s">
        <v>322</v>
      </c>
      <c r="K289" t="s">
        <v>324</v>
      </c>
      <c r="L289" t="s">
        <v>38</v>
      </c>
    </row>
    <row r="290" spans="2:14">
      <c r="B290" s="33" t="s">
        <v>183</v>
      </c>
      <c r="C290" s="34">
        <v>2</v>
      </c>
      <c r="D290" s="19"/>
      <c r="E290" s="15">
        <v>5</v>
      </c>
      <c r="F290" s="15"/>
      <c r="G290" s="35"/>
      <c r="H290" t="s">
        <v>325</v>
      </c>
      <c r="I290" t="s">
        <v>326</v>
      </c>
      <c r="J290" t="s">
        <v>38</v>
      </c>
      <c r="K290" t="s">
        <v>324</v>
      </c>
      <c r="L290" t="s">
        <v>38</v>
      </c>
    </row>
    <row r="291" spans="2:14">
      <c r="B291" s="33" t="s">
        <v>184</v>
      </c>
      <c r="C291" s="34">
        <v>2</v>
      </c>
      <c r="D291" s="19"/>
      <c r="E291" s="15">
        <v>5</v>
      </c>
      <c r="F291" s="15"/>
      <c r="G291" s="35"/>
      <c r="H291" t="s">
        <v>325</v>
      </c>
      <c r="I291" t="s">
        <v>326</v>
      </c>
      <c r="J291" t="s">
        <v>38</v>
      </c>
      <c r="K291" t="s">
        <v>38</v>
      </c>
      <c r="L291" t="s">
        <v>38</v>
      </c>
    </row>
    <row r="292" spans="2:14">
      <c r="B292" s="33" t="s">
        <v>185</v>
      </c>
      <c r="C292" s="34">
        <v>25</v>
      </c>
      <c r="D292" s="19"/>
      <c r="E292" s="15">
        <v>5</v>
      </c>
      <c r="F292" s="15"/>
      <c r="G292" s="35"/>
      <c r="H292" t="s">
        <v>186</v>
      </c>
      <c r="I292" t="s">
        <v>38</v>
      </c>
      <c r="J292" t="s">
        <v>325</v>
      </c>
      <c r="K292" t="s">
        <v>326</v>
      </c>
      <c r="L292" t="s">
        <v>324</v>
      </c>
    </row>
    <row r="293" spans="2:14">
      <c r="B293" s="33" t="s">
        <v>179</v>
      </c>
      <c r="C293" s="34">
        <v>2</v>
      </c>
      <c r="D293" s="19"/>
      <c r="E293" s="15">
        <v>5</v>
      </c>
      <c r="F293" s="15"/>
      <c r="G293" s="35"/>
      <c r="H293" t="s">
        <v>325</v>
      </c>
      <c r="I293" t="s">
        <v>326</v>
      </c>
      <c r="J293" t="s">
        <v>38</v>
      </c>
      <c r="K293" t="s">
        <v>324</v>
      </c>
      <c r="L293" t="s">
        <v>38</v>
      </c>
    </row>
    <row r="294" spans="2:14">
      <c r="B294" s="33" t="s">
        <v>180</v>
      </c>
      <c r="C294" s="34">
        <v>2</v>
      </c>
      <c r="D294" s="19"/>
      <c r="E294" s="15">
        <v>5</v>
      </c>
      <c r="F294" s="15"/>
      <c r="G294" s="35"/>
      <c r="H294" t="s">
        <v>325</v>
      </c>
      <c r="I294" t="s">
        <v>326</v>
      </c>
      <c r="J294" t="s">
        <v>38</v>
      </c>
      <c r="K294" t="s">
        <v>324</v>
      </c>
      <c r="L294" t="s">
        <v>38</v>
      </c>
    </row>
    <row r="295" spans="2:14">
      <c r="B295" s="33" t="s">
        <v>181</v>
      </c>
      <c r="C295" s="34">
        <v>2</v>
      </c>
      <c r="D295" s="19"/>
      <c r="E295" s="15">
        <v>5</v>
      </c>
      <c r="F295" s="15"/>
      <c r="G295" s="35"/>
      <c r="H295" t="s">
        <v>325</v>
      </c>
      <c r="I295" t="s">
        <v>326</v>
      </c>
      <c r="J295" t="s">
        <v>38</v>
      </c>
      <c r="K295" t="s">
        <v>324</v>
      </c>
      <c r="L295" t="s">
        <v>38</v>
      </c>
    </row>
    <row r="296" spans="2:14">
      <c r="B296" s="33" t="s">
        <v>182</v>
      </c>
      <c r="C296" s="34">
        <v>2</v>
      </c>
      <c r="D296" s="19"/>
      <c r="E296" s="15">
        <v>5</v>
      </c>
      <c r="F296" s="15"/>
      <c r="G296" s="35"/>
      <c r="H296" t="s">
        <v>325</v>
      </c>
      <c r="I296" t="s">
        <v>326</v>
      </c>
      <c r="J296" t="s">
        <v>38</v>
      </c>
      <c r="K296" t="s">
        <v>324</v>
      </c>
      <c r="L296" t="s">
        <v>38</v>
      </c>
    </row>
    <row r="297" spans="2:14">
      <c r="B297" s="33" t="s">
        <v>64</v>
      </c>
      <c r="C297" s="34">
        <v>4</v>
      </c>
      <c r="D297" s="19"/>
      <c r="E297" s="15">
        <v>5</v>
      </c>
      <c r="F297" s="15"/>
      <c r="G297" s="35"/>
      <c r="H297" t="s">
        <v>325</v>
      </c>
      <c r="I297" t="s">
        <v>326</v>
      </c>
      <c r="J297" t="s">
        <v>38</v>
      </c>
      <c r="K297" t="s">
        <v>38</v>
      </c>
      <c r="L297" t="s">
        <v>38</v>
      </c>
    </row>
    <row r="298" spans="2:14">
      <c r="B298" s="33" t="s">
        <v>133</v>
      </c>
      <c r="C298" s="18">
        <v>1</v>
      </c>
      <c r="D298" s="19"/>
      <c r="E298" s="15">
        <v>5</v>
      </c>
      <c r="F298" s="15"/>
      <c r="G298" s="35"/>
      <c r="H298" t="s">
        <v>325</v>
      </c>
      <c r="I298" t="s">
        <v>326</v>
      </c>
      <c r="J298" t="s">
        <v>38</v>
      </c>
      <c r="K298" t="s">
        <v>38</v>
      </c>
      <c r="L298" t="s">
        <v>38</v>
      </c>
    </row>
    <row r="299" spans="2:14">
      <c r="B299" s="33" t="s">
        <v>188</v>
      </c>
      <c r="C299" s="34">
        <v>1</v>
      </c>
      <c r="D299" s="19"/>
      <c r="E299" s="15">
        <v>5</v>
      </c>
      <c r="F299" s="15"/>
      <c r="G299" s="35"/>
      <c r="H299" t="s">
        <v>38</v>
      </c>
      <c r="I299" t="s">
        <v>38</v>
      </c>
      <c r="J299" t="s">
        <v>38</v>
      </c>
      <c r="K299" t="s">
        <v>38</v>
      </c>
      <c r="L299" t="s">
        <v>38</v>
      </c>
    </row>
    <row r="300" spans="2:14">
      <c r="B300" s="33" t="s">
        <v>187</v>
      </c>
      <c r="C300" s="34">
        <v>1</v>
      </c>
      <c r="D300" s="19"/>
      <c r="E300" s="15">
        <v>5</v>
      </c>
      <c r="F300" s="15"/>
      <c r="G300" s="35"/>
      <c r="H300" t="s">
        <v>325</v>
      </c>
      <c r="I300" t="s">
        <v>38</v>
      </c>
      <c r="J300" t="s">
        <v>38</v>
      </c>
      <c r="K300" t="s">
        <v>38</v>
      </c>
      <c r="L300" t="s">
        <v>38</v>
      </c>
      <c r="M300" t="s">
        <v>300</v>
      </c>
    </row>
    <row r="301" spans="2:14">
      <c r="B301" s="33" t="s">
        <v>175</v>
      </c>
      <c r="C301" s="34">
        <v>1</v>
      </c>
      <c r="D301" s="19"/>
      <c r="E301" s="15">
        <v>5</v>
      </c>
      <c r="F301" s="15"/>
      <c r="G301" s="35">
        <v>1</v>
      </c>
      <c r="H301" t="s">
        <v>325</v>
      </c>
      <c r="I301" t="s">
        <v>38</v>
      </c>
      <c r="J301" t="s">
        <v>38</v>
      </c>
      <c r="K301" t="s">
        <v>324</v>
      </c>
      <c r="L301" s="21" t="s">
        <v>38</v>
      </c>
      <c r="M301" t="s">
        <v>300</v>
      </c>
      <c r="N301" s="21"/>
    </row>
    <row r="302" spans="2:14">
      <c r="B302" s="33" t="s">
        <v>176</v>
      </c>
      <c r="C302" s="34">
        <v>1</v>
      </c>
      <c r="D302" s="19"/>
      <c r="E302" s="15">
        <v>5</v>
      </c>
      <c r="F302" s="15"/>
      <c r="G302" s="35">
        <v>1</v>
      </c>
      <c r="H302" t="s">
        <v>325</v>
      </c>
      <c r="I302" t="s">
        <v>38</v>
      </c>
      <c r="J302" t="s">
        <v>38</v>
      </c>
      <c r="K302" t="s">
        <v>324</v>
      </c>
      <c r="L302" s="21" t="s">
        <v>38</v>
      </c>
      <c r="M302" t="s">
        <v>300</v>
      </c>
      <c r="N302" s="21"/>
    </row>
    <row r="303" spans="2:14">
      <c r="B303" s="33" t="s">
        <v>177</v>
      </c>
      <c r="C303" s="34">
        <v>1</v>
      </c>
      <c r="D303" s="19"/>
      <c r="E303" s="15">
        <v>5</v>
      </c>
      <c r="F303" s="15"/>
      <c r="G303" s="35">
        <v>1</v>
      </c>
      <c r="H303" t="s">
        <v>325</v>
      </c>
      <c r="I303" t="s">
        <v>38</v>
      </c>
      <c r="J303" t="s">
        <v>38</v>
      </c>
      <c r="K303" t="s">
        <v>324</v>
      </c>
      <c r="L303" s="21" t="s">
        <v>38</v>
      </c>
      <c r="M303" t="s">
        <v>300</v>
      </c>
      <c r="N303" s="21"/>
    </row>
    <row r="304" spans="2:14">
      <c r="B304" s="33" t="s">
        <v>178</v>
      </c>
      <c r="C304" s="34">
        <v>1</v>
      </c>
      <c r="D304" s="19"/>
      <c r="E304" s="15">
        <v>5</v>
      </c>
      <c r="F304" s="15"/>
      <c r="G304" s="35">
        <v>1</v>
      </c>
      <c r="H304" t="s">
        <v>325</v>
      </c>
      <c r="I304" t="s">
        <v>38</v>
      </c>
      <c r="J304" t="s">
        <v>38</v>
      </c>
      <c r="K304" t="s">
        <v>324</v>
      </c>
      <c r="L304" s="21" t="s">
        <v>38</v>
      </c>
      <c r="M304" t="s">
        <v>300</v>
      </c>
      <c r="N304" s="21"/>
    </row>
    <row r="305" spans="2:14">
      <c r="B305" s="33" t="s">
        <v>185</v>
      </c>
      <c r="C305" s="34">
        <v>8</v>
      </c>
      <c r="D305" s="19"/>
      <c r="E305" s="15">
        <v>5</v>
      </c>
      <c r="F305" s="15"/>
      <c r="G305" s="35">
        <v>1</v>
      </c>
      <c r="H305" t="s">
        <v>186</v>
      </c>
      <c r="I305" t="s">
        <v>38</v>
      </c>
      <c r="J305" t="s">
        <v>325</v>
      </c>
      <c r="K305" t="s">
        <v>324</v>
      </c>
      <c r="L305" s="21" t="s">
        <v>38</v>
      </c>
      <c r="M305" t="s">
        <v>300</v>
      </c>
      <c r="N305" s="21"/>
    </row>
    <row r="306" spans="2:14">
      <c r="B306" s="33" t="s">
        <v>64</v>
      </c>
      <c r="C306" s="34">
        <v>1</v>
      </c>
      <c r="D306" s="19"/>
      <c r="E306" s="15">
        <v>5</v>
      </c>
      <c r="F306" s="15"/>
      <c r="G306" s="35">
        <v>1</v>
      </c>
      <c r="H306" t="s">
        <v>325</v>
      </c>
      <c r="I306" t="s">
        <v>38</v>
      </c>
      <c r="J306" t="s">
        <v>38</v>
      </c>
      <c r="K306" t="s">
        <v>38</v>
      </c>
      <c r="L306" s="21" t="s">
        <v>38</v>
      </c>
      <c r="M306" t="s">
        <v>300</v>
      </c>
      <c r="N306" s="21"/>
    </row>
    <row r="307" spans="2:14">
      <c r="B307" s="33" t="s">
        <v>179</v>
      </c>
      <c r="C307" s="34">
        <v>4</v>
      </c>
      <c r="D307" s="19">
        <v>1</v>
      </c>
      <c r="E307" s="15">
        <v>5</v>
      </c>
      <c r="F307" s="15">
        <v>5</v>
      </c>
      <c r="G307" s="35">
        <v>1</v>
      </c>
      <c r="H307" t="s">
        <v>325</v>
      </c>
      <c r="I307" t="s">
        <v>326</v>
      </c>
      <c r="J307" t="s">
        <v>322</v>
      </c>
      <c r="K307" t="s">
        <v>324</v>
      </c>
      <c r="L307" s="21" t="s">
        <v>38</v>
      </c>
      <c r="M307" t="s">
        <v>300</v>
      </c>
      <c r="N307" s="21"/>
    </row>
    <row r="308" spans="2:14">
      <c r="B308" s="33" t="s">
        <v>180</v>
      </c>
      <c r="C308" s="34">
        <v>4</v>
      </c>
      <c r="D308" s="19">
        <v>1</v>
      </c>
      <c r="E308" s="15">
        <v>5</v>
      </c>
      <c r="F308" s="15">
        <v>5</v>
      </c>
      <c r="G308" s="35">
        <v>1</v>
      </c>
      <c r="H308" t="s">
        <v>325</v>
      </c>
      <c r="I308" t="s">
        <v>326</v>
      </c>
      <c r="J308" t="s">
        <v>322</v>
      </c>
      <c r="K308" t="s">
        <v>324</v>
      </c>
      <c r="L308" t="s">
        <v>38</v>
      </c>
    </row>
    <row r="309" spans="2:14">
      <c r="B309" s="33" t="s">
        <v>181</v>
      </c>
      <c r="C309" s="34">
        <v>4</v>
      </c>
      <c r="D309" s="19">
        <v>1</v>
      </c>
      <c r="E309" s="15">
        <v>5</v>
      </c>
      <c r="F309" s="15">
        <v>5</v>
      </c>
      <c r="G309" s="35">
        <v>1</v>
      </c>
      <c r="H309" t="s">
        <v>325</v>
      </c>
      <c r="I309" t="s">
        <v>326</v>
      </c>
      <c r="J309" t="s">
        <v>322</v>
      </c>
      <c r="K309" t="s">
        <v>324</v>
      </c>
      <c r="L309" t="s">
        <v>38</v>
      </c>
    </row>
    <row r="310" spans="2:14">
      <c r="B310" s="33" t="s">
        <v>184</v>
      </c>
      <c r="C310" s="34">
        <v>3</v>
      </c>
      <c r="D310" s="19">
        <v>1</v>
      </c>
      <c r="E310" s="15">
        <v>5</v>
      </c>
      <c r="F310" s="15">
        <v>5</v>
      </c>
      <c r="G310" s="35">
        <v>1</v>
      </c>
      <c r="H310" t="s">
        <v>325</v>
      </c>
      <c r="I310" t="s">
        <v>326</v>
      </c>
      <c r="J310" t="s">
        <v>322</v>
      </c>
      <c r="K310" t="s">
        <v>38</v>
      </c>
      <c r="L310" t="s">
        <v>38</v>
      </c>
    </row>
    <row r="311" spans="2:14">
      <c r="B311" s="33" t="s">
        <v>182</v>
      </c>
      <c r="C311" s="34">
        <v>1</v>
      </c>
      <c r="D311" s="19">
        <v>1</v>
      </c>
      <c r="E311" s="15">
        <v>5</v>
      </c>
      <c r="F311" s="15">
        <v>5</v>
      </c>
      <c r="G311" s="35">
        <v>1</v>
      </c>
      <c r="H311" t="s">
        <v>325</v>
      </c>
      <c r="I311" t="s">
        <v>326</v>
      </c>
      <c r="J311" t="s">
        <v>322</v>
      </c>
      <c r="K311" t="s">
        <v>324</v>
      </c>
      <c r="L311" t="s">
        <v>38</v>
      </c>
    </row>
    <row r="312" spans="2:14">
      <c r="B312" s="33" t="s">
        <v>183</v>
      </c>
      <c r="C312" s="34">
        <v>1</v>
      </c>
      <c r="D312" s="19">
        <v>1</v>
      </c>
      <c r="E312" s="15">
        <v>5</v>
      </c>
      <c r="F312" s="15">
        <v>5</v>
      </c>
      <c r="G312" s="35">
        <v>1</v>
      </c>
      <c r="H312" t="s">
        <v>325</v>
      </c>
      <c r="I312" t="s">
        <v>326</v>
      </c>
      <c r="J312" t="s">
        <v>322</v>
      </c>
      <c r="K312" t="s">
        <v>324</v>
      </c>
      <c r="L312" t="s">
        <v>38</v>
      </c>
    </row>
    <row r="313" spans="2:14">
      <c r="B313" s="33" t="s">
        <v>133</v>
      </c>
      <c r="C313" s="18">
        <v>1</v>
      </c>
      <c r="D313" s="19"/>
      <c r="E313" s="15">
        <v>5</v>
      </c>
      <c r="F313" s="15"/>
      <c r="G313" s="35"/>
      <c r="H313" t="s">
        <v>38</v>
      </c>
      <c r="I313" t="s">
        <v>38</v>
      </c>
      <c r="J313" t="s">
        <v>322</v>
      </c>
      <c r="K313" t="s">
        <v>38</v>
      </c>
      <c r="L313" t="s">
        <v>38</v>
      </c>
    </row>
    <row r="314" spans="2:14">
      <c r="B314" s="33" t="s">
        <v>133</v>
      </c>
      <c r="C314" s="18">
        <v>1</v>
      </c>
      <c r="D314" s="19">
        <v>1</v>
      </c>
      <c r="E314" s="15">
        <v>5</v>
      </c>
      <c r="F314" s="15">
        <v>5</v>
      </c>
      <c r="G314" s="35">
        <v>1</v>
      </c>
      <c r="H314" t="s">
        <v>325</v>
      </c>
      <c r="I314" t="s">
        <v>38</v>
      </c>
      <c r="J314" t="s">
        <v>38</v>
      </c>
      <c r="K314" t="s">
        <v>38</v>
      </c>
      <c r="L314" t="s">
        <v>38</v>
      </c>
    </row>
    <row r="315" spans="2:14">
      <c r="B315" s="33" t="s">
        <v>129</v>
      </c>
      <c r="C315" s="34">
        <v>6</v>
      </c>
      <c r="D315" s="19"/>
      <c r="E315" s="15">
        <v>5</v>
      </c>
      <c r="F315" s="15"/>
      <c r="G315" s="35"/>
      <c r="H315" t="s">
        <v>38</v>
      </c>
      <c r="I315" t="s">
        <v>38</v>
      </c>
      <c r="J315" t="s">
        <v>38</v>
      </c>
      <c r="K315" t="s">
        <v>38</v>
      </c>
      <c r="L315" t="s">
        <v>38</v>
      </c>
    </row>
    <row r="316" spans="2:14">
      <c r="B316" s="33" t="s">
        <v>129</v>
      </c>
      <c r="C316" s="34">
        <v>29</v>
      </c>
      <c r="D316" s="19"/>
      <c r="E316" s="15">
        <v>5</v>
      </c>
      <c r="F316" s="15"/>
      <c r="G316" s="35"/>
      <c r="H316" t="s">
        <v>38</v>
      </c>
      <c r="I316" t="s">
        <v>38</v>
      </c>
      <c r="J316" t="s">
        <v>38</v>
      </c>
      <c r="K316" t="s">
        <v>38</v>
      </c>
      <c r="L316" t="s">
        <v>38</v>
      </c>
    </row>
    <row r="317" spans="2:14">
      <c r="B317" s="33" t="s">
        <v>130</v>
      </c>
      <c r="C317" s="34">
        <v>6</v>
      </c>
      <c r="D317" s="19"/>
      <c r="E317" s="15">
        <v>5</v>
      </c>
      <c r="F317" s="15"/>
      <c r="G317" s="35"/>
      <c r="H317" t="s">
        <v>38</v>
      </c>
      <c r="I317" t="s">
        <v>38</v>
      </c>
      <c r="J317" t="s">
        <v>38</v>
      </c>
      <c r="K317" t="s">
        <v>38</v>
      </c>
      <c r="L317" t="s">
        <v>38</v>
      </c>
    </row>
    <row r="318" spans="2:14">
      <c r="B318" s="33" t="s">
        <v>130</v>
      </c>
      <c r="C318" s="34">
        <v>29</v>
      </c>
      <c r="D318" s="19"/>
      <c r="E318" s="15">
        <v>5</v>
      </c>
      <c r="F318" s="15"/>
      <c r="G318" s="35"/>
      <c r="H318" t="s">
        <v>38</v>
      </c>
      <c r="I318" t="s">
        <v>38</v>
      </c>
      <c r="J318" t="s">
        <v>38</v>
      </c>
      <c r="K318" t="s">
        <v>38</v>
      </c>
      <c r="L318" t="s">
        <v>38</v>
      </c>
    </row>
    <row r="319" spans="2:14">
      <c r="B319" s="33" t="s">
        <v>185</v>
      </c>
      <c r="C319" s="34">
        <v>30</v>
      </c>
      <c r="D319" s="19">
        <v>1</v>
      </c>
      <c r="E319" s="15">
        <v>5</v>
      </c>
      <c r="F319" s="15">
        <v>5</v>
      </c>
      <c r="G319" s="35">
        <v>1</v>
      </c>
      <c r="H319" t="s">
        <v>186</v>
      </c>
      <c r="I319" t="s">
        <v>322</v>
      </c>
      <c r="J319" t="s">
        <v>325</v>
      </c>
      <c r="K319" t="s">
        <v>326</v>
      </c>
      <c r="L319" t="s">
        <v>324</v>
      </c>
    </row>
    <row r="320" spans="2:14">
      <c r="B320" s="33" t="s">
        <v>188</v>
      </c>
      <c r="C320" s="34">
        <v>1</v>
      </c>
      <c r="D320" s="19"/>
      <c r="E320" s="15">
        <v>5</v>
      </c>
      <c r="F320" s="15"/>
      <c r="G320" s="35"/>
      <c r="H320" t="s">
        <v>38</v>
      </c>
      <c r="I320" t="s">
        <v>38</v>
      </c>
      <c r="J320" t="s">
        <v>38</v>
      </c>
      <c r="K320" t="s">
        <v>38</v>
      </c>
      <c r="L320" t="s">
        <v>38</v>
      </c>
    </row>
    <row r="321" spans="2:12">
      <c r="B321" s="33" t="s">
        <v>64</v>
      </c>
      <c r="C321" s="34">
        <v>4</v>
      </c>
      <c r="D321" s="19">
        <v>1</v>
      </c>
      <c r="E321" s="15">
        <v>5</v>
      </c>
      <c r="F321" s="15">
        <v>5</v>
      </c>
      <c r="G321" s="35">
        <v>1</v>
      </c>
      <c r="H321" t="s">
        <v>325</v>
      </c>
      <c r="I321" t="s">
        <v>326</v>
      </c>
      <c r="J321" t="s">
        <v>38</v>
      </c>
      <c r="K321" t="s">
        <v>38</v>
      </c>
      <c r="L321" t="s">
        <v>38</v>
      </c>
    </row>
    <row r="322" spans="2:12">
      <c r="B322" s="33" t="s">
        <v>139</v>
      </c>
      <c r="C322" s="34">
        <v>1</v>
      </c>
      <c r="D322" s="19"/>
      <c r="E322" s="15">
        <v>5</v>
      </c>
      <c r="F322" s="15">
        <v>5</v>
      </c>
      <c r="G322" s="35"/>
      <c r="H322" t="s">
        <v>325</v>
      </c>
      <c r="I322" t="s">
        <v>38</v>
      </c>
      <c r="J322" t="s">
        <v>38</v>
      </c>
      <c r="K322" t="s">
        <v>38</v>
      </c>
      <c r="L322" t="s">
        <v>38</v>
      </c>
    </row>
    <row r="323" spans="2:12">
      <c r="B323" s="17" t="s">
        <v>155</v>
      </c>
      <c r="C323" s="18">
        <v>1</v>
      </c>
      <c r="D323" s="19"/>
      <c r="E323" s="15">
        <v>1</v>
      </c>
      <c r="F323" s="15"/>
      <c r="G323" s="35"/>
      <c r="H323" t="s">
        <v>323</v>
      </c>
      <c r="I323" t="s">
        <v>38</v>
      </c>
      <c r="J323" t="s">
        <v>38</v>
      </c>
      <c r="K323" t="s">
        <v>322</v>
      </c>
      <c r="L323" t="s">
        <v>38</v>
      </c>
    </row>
    <row r="324" spans="2:12">
      <c r="B324" s="17" t="s">
        <v>155</v>
      </c>
      <c r="C324" s="18">
        <v>1</v>
      </c>
      <c r="D324" s="19"/>
      <c r="E324" s="15">
        <v>2</v>
      </c>
      <c r="F324" s="15"/>
      <c r="G324" s="35"/>
      <c r="H324" t="s">
        <v>323</v>
      </c>
      <c r="I324" t="s">
        <v>38</v>
      </c>
      <c r="J324" t="s">
        <v>38</v>
      </c>
      <c r="K324" t="s">
        <v>322</v>
      </c>
      <c r="L324" t="s">
        <v>38</v>
      </c>
    </row>
    <row r="325" spans="2:12">
      <c r="B325" s="17" t="s">
        <v>155</v>
      </c>
      <c r="C325" s="18">
        <v>1</v>
      </c>
      <c r="D325" s="19"/>
      <c r="E325" s="15">
        <v>4</v>
      </c>
      <c r="F325" s="15"/>
      <c r="G325" s="35"/>
      <c r="H325" t="s">
        <v>325</v>
      </c>
      <c r="I325" t="s">
        <v>326</v>
      </c>
      <c r="J325" t="s">
        <v>38</v>
      </c>
      <c r="K325" t="s">
        <v>322</v>
      </c>
      <c r="L325" t="s">
        <v>38</v>
      </c>
    </row>
    <row r="326" spans="2:12">
      <c r="B326" s="17" t="s">
        <v>155</v>
      </c>
      <c r="C326" s="18">
        <v>2</v>
      </c>
      <c r="D326" s="19"/>
      <c r="E326" s="15">
        <v>5</v>
      </c>
      <c r="F326" s="15"/>
      <c r="G326" s="35"/>
      <c r="H326" t="s">
        <v>325</v>
      </c>
      <c r="I326" t="s">
        <v>326</v>
      </c>
      <c r="J326" t="s">
        <v>38</v>
      </c>
      <c r="K326" t="s">
        <v>322</v>
      </c>
      <c r="L326" t="s">
        <v>38</v>
      </c>
    </row>
    <row r="327" spans="2:12">
      <c r="B327" s="33" t="s">
        <v>155</v>
      </c>
      <c r="C327" s="34">
        <v>5</v>
      </c>
      <c r="D327" s="19">
        <v>1</v>
      </c>
      <c r="E327" s="15">
        <v>5</v>
      </c>
      <c r="F327" s="15">
        <v>5</v>
      </c>
      <c r="G327" s="35">
        <v>1</v>
      </c>
      <c r="H327" t="s">
        <v>325</v>
      </c>
      <c r="I327" t="s">
        <v>326</v>
      </c>
      <c r="J327" t="s">
        <v>38</v>
      </c>
      <c r="K327" t="s">
        <v>322</v>
      </c>
      <c r="L327" t="s">
        <v>38</v>
      </c>
    </row>
    <row r="328" spans="2:12">
      <c r="B328" s="33" t="s">
        <v>38</v>
      </c>
      <c r="C328" s="34">
        <v>1</v>
      </c>
      <c r="D328" s="19"/>
      <c r="E328" s="15"/>
      <c r="F328" s="15"/>
      <c r="G328" s="35"/>
      <c r="H328" t="s">
        <v>38</v>
      </c>
      <c r="I328" t="s">
        <v>38</v>
      </c>
      <c r="J328" t="s">
        <v>38</v>
      </c>
      <c r="K328" t="s">
        <v>38</v>
      </c>
      <c r="L328" t="s">
        <v>38</v>
      </c>
    </row>
    <row r="329" spans="2:12">
      <c r="B329" s="33" t="s">
        <v>38</v>
      </c>
      <c r="C329" s="34">
        <v>1</v>
      </c>
      <c r="D329" s="19"/>
      <c r="E329" s="15"/>
      <c r="F329" s="15"/>
      <c r="G329" s="35"/>
      <c r="H329" t="s">
        <v>38</v>
      </c>
      <c r="I329" t="s">
        <v>38</v>
      </c>
      <c r="J329" t="s">
        <v>38</v>
      </c>
      <c r="K329" t="s">
        <v>38</v>
      </c>
      <c r="L329" t="s">
        <v>38</v>
      </c>
    </row>
    <row r="330" spans="2:12">
      <c r="B330" s="33" t="s">
        <v>38</v>
      </c>
      <c r="C330" s="34">
        <v>1</v>
      </c>
      <c r="D330" s="19"/>
      <c r="E330" s="15"/>
      <c r="F330" s="15"/>
      <c r="G330" s="35"/>
      <c r="H330" t="s">
        <v>38</v>
      </c>
      <c r="I330" t="s">
        <v>38</v>
      </c>
      <c r="J330" t="s">
        <v>38</v>
      </c>
      <c r="K330" t="s">
        <v>38</v>
      </c>
      <c r="L330" t="s">
        <v>38</v>
      </c>
    </row>
    <row r="331" spans="2:12">
      <c r="B331" s="33" t="s">
        <v>38</v>
      </c>
      <c r="C331" s="34">
        <v>1</v>
      </c>
      <c r="D331" s="19"/>
      <c r="E331" s="15"/>
      <c r="F331" s="15"/>
      <c r="G331" s="35"/>
      <c r="H331" t="s">
        <v>38</v>
      </c>
      <c r="I331" t="s">
        <v>38</v>
      </c>
      <c r="J331" t="s">
        <v>38</v>
      </c>
      <c r="K331" t="s">
        <v>38</v>
      </c>
      <c r="L331" t="s">
        <v>38</v>
      </c>
    </row>
    <row r="332" spans="2:12">
      <c r="B332" s="33" t="s">
        <v>38</v>
      </c>
      <c r="C332" s="34">
        <v>1</v>
      </c>
      <c r="D332" s="19"/>
      <c r="E332" s="15"/>
      <c r="F332" s="15"/>
      <c r="G332" s="35"/>
      <c r="H332" t="s">
        <v>38</v>
      </c>
      <c r="I332" t="s">
        <v>38</v>
      </c>
      <c r="J332" t="s">
        <v>38</v>
      </c>
      <c r="K332" t="s">
        <v>38</v>
      </c>
      <c r="L332" t="s">
        <v>38</v>
      </c>
    </row>
    <row r="333" spans="2:12">
      <c r="B333" s="33" t="s">
        <v>38</v>
      </c>
      <c r="C333" s="34">
        <v>1</v>
      </c>
      <c r="D333" s="19"/>
      <c r="E333" s="15"/>
      <c r="F333" s="15"/>
      <c r="G333" s="35"/>
      <c r="H333" t="s">
        <v>38</v>
      </c>
      <c r="I333" t="s">
        <v>38</v>
      </c>
      <c r="J333" t="s">
        <v>38</v>
      </c>
      <c r="K333" t="s">
        <v>38</v>
      </c>
      <c r="L333" t="s">
        <v>38</v>
      </c>
    </row>
    <row r="334" spans="2:12">
      <c r="B334" s="33" t="s">
        <v>38</v>
      </c>
      <c r="C334" s="34">
        <v>1</v>
      </c>
      <c r="D334" s="19"/>
      <c r="E334" s="15"/>
      <c r="F334" s="15"/>
      <c r="G334" s="35"/>
      <c r="H334" t="s">
        <v>38</v>
      </c>
      <c r="I334" t="s">
        <v>38</v>
      </c>
      <c r="J334" t="s">
        <v>38</v>
      </c>
      <c r="K334" t="s">
        <v>38</v>
      </c>
      <c r="L334" t="s">
        <v>38</v>
      </c>
    </row>
    <row r="335" spans="2:12">
      <c r="B335" s="33" t="s">
        <v>38</v>
      </c>
      <c r="C335" s="34">
        <v>1</v>
      </c>
      <c r="D335" s="19"/>
      <c r="E335" s="15"/>
      <c r="F335" s="15"/>
      <c r="G335" s="35"/>
      <c r="H335" t="s">
        <v>38</v>
      </c>
      <c r="I335" t="s">
        <v>38</v>
      </c>
      <c r="J335" t="s">
        <v>38</v>
      </c>
      <c r="K335" t="s">
        <v>38</v>
      </c>
      <c r="L335" t="s">
        <v>38</v>
      </c>
    </row>
    <row r="336" spans="2:12">
      <c r="B336" s="33" t="s">
        <v>38</v>
      </c>
      <c r="C336" s="34">
        <v>1</v>
      </c>
      <c r="D336" s="19"/>
      <c r="E336" s="15"/>
      <c r="F336" s="15"/>
      <c r="G336" s="35"/>
      <c r="H336" t="s">
        <v>38</v>
      </c>
      <c r="I336" t="s">
        <v>38</v>
      </c>
      <c r="J336" t="s">
        <v>38</v>
      </c>
      <c r="K336" t="s">
        <v>38</v>
      </c>
      <c r="L336" t="s">
        <v>38</v>
      </c>
    </row>
    <row r="337" spans="2:12">
      <c r="B337" s="33" t="s">
        <v>38</v>
      </c>
      <c r="C337" s="34">
        <v>1</v>
      </c>
      <c r="D337" s="19"/>
      <c r="E337" s="15"/>
      <c r="F337" s="15"/>
      <c r="G337" s="35"/>
      <c r="H337" t="s">
        <v>38</v>
      </c>
      <c r="I337" t="s">
        <v>38</v>
      </c>
      <c r="J337" t="s">
        <v>38</v>
      </c>
      <c r="K337" t="s">
        <v>38</v>
      </c>
      <c r="L337" t="s">
        <v>38</v>
      </c>
    </row>
    <row r="338" spans="2:12">
      <c r="B338" s="33" t="s">
        <v>38</v>
      </c>
      <c r="C338" s="34">
        <v>1</v>
      </c>
      <c r="D338" s="19"/>
      <c r="E338" s="15"/>
      <c r="F338" s="15"/>
      <c r="G338" s="35"/>
      <c r="H338" t="s">
        <v>38</v>
      </c>
      <c r="I338" t="s">
        <v>38</v>
      </c>
      <c r="J338" t="s">
        <v>38</v>
      </c>
      <c r="K338" t="s">
        <v>38</v>
      </c>
      <c r="L338" t="s">
        <v>38</v>
      </c>
    </row>
    <row r="339" spans="2:12">
      <c r="B339" s="33" t="s">
        <v>38</v>
      </c>
      <c r="C339" s="34">
        <v>1</v>
      </c>
      <c r="D339" s="19"/>
      <c r="E339" s="15"/>
      <c r="F339" s="15"/>
      <c r="G339" s="35"/>
      <c r="H339" t="s">
        <v>38</v>
      </c>
      <c r="I339" t="s">
        <v>38</v>
      </c>
      <c r="J339" t="s">
        <v>38</v>
      </c>
      <c r="K339" t="s">
        <v>38</v>
      </c>
      <c r="L339" t="s">
        <v>38</v>
      </c>
    </row>
    <row r="340" spans="2:12">
      <c r="B340" s="33" t="s">
        <v>38</v>
      </c>
      <c r="C340" s="34">
        <v>1</v>
      </c>
      <c r="D340" s="19"/>
      <c r="E340" s="15"/>
      <c r="F340" s="15"/>
      <c r="G340" s="35"/>
      <c r="H340" t="s">
        <v>38</v>
      </c>
      <c r="I340" t="s">
        <v>38</v>
      </c>
      <c r="J340" t="s">
        <v>38</v>
      </c>
      <c r="K340" t="s">
        <v>38</v>
      </c>
      <c r="L340" t="s">
        <v>38</v>
      </c>
    </row>
    <row r="341" spans="2:12">
      <c r="B341" s="33" t="s">
        <v>38</v>
      </c>
      <c r="C341" s="34">
        <v>1</v>
      </c>
      <c r="D341" s="19"/>
      <c r="E341" s="15"/>
      <c r="F341" s="15"/>
      <c r="G341" s="35"/>
      <c r="H341" t="s">
        <v>38</v>
      </c>
      <c r="I341" t="s">
        <v>38</v>
      </c>
      <c r="J341" t="s">
        <v>38</v>
      </c>
      <c r="K341" t="s">
        <v>38</v>
      </c>
      <c r="L341" t="s">
        <v>38</v>
      </c>
    </row>
    <row r="342" spans="2:12">
      <c r="B342" s="33" t="s">
        <v>38</v>
      </c>
      <c r="C342" s="34">
        <v>1</v>
      </c>
      <c r="D342" s="19"/>
      <c r="E342" s="15"/>
      <c r="F342" s="15"/>
      <c r="G342" s="35"/>
      <c r="H342" t="s">
        <v>38</v>
      </c>
      <c r="I342" t="s">
        <v>38</v>
      </c>
      <c r="J342" t="s">
        <v>38</v>
      </c>
      <c r="K342" t="s">
        <v>38</v>
      </c>
      <c r="L342" t="s">
        <v>38</v>
      </c>
    </row>
    <row r="343" spans="2:12">
      <c r="B343" s="33" t="s">
        <v>38</v>
      </c>
      <c r="C343" s="34">
        <v>1</v>
      </c>
      <c r="D343" s="19"/>
      <c r="E343" s="15"/>
      <c r="F343" s="15"/>
      <c r="G343" s="35"/>
      <c r="H343" t="s">
        <v>38</v>
      </c>
      <c r="I343" t="s">
        <v>38</v>
      </c>
      <c r="J343" t="s">
        <v>38</v>
      </c>
      <c r="K343" t="s">
        <v>38</v>
      </c>
      <c r="L343" t="s">
        <v>38</v>
      </c>
    </row>
    <row r="344" spans="2:12">
      <c r="B344" s="33" t="s">
        <v>38</v>
      </c>
      <c r="C344" s="34">
        <v>1</v>
      </c>
      <c r="D344" s="19"/>
      <c r="E344" s="15"/>
      <c r="F344" s="15"/>
      <c r="G344" s="35"/>
      <c r="H344" t="s">
        <v>38</v>
      </c>
      <c r="I344" t="s">
        <v>38</v>
      </c>
      <c r="J344" t="s">
        <v>38</v>
      </c>
      <c r="K344" t="s">
        <v>38</v>
      </c>
      <c r="L344" t="s">
        <v>38</v>
      </c>
    </row>
    <row r="345" spans="2:12">
      <c r="B345" s="33" t="s">
        <v>38</v>
      </c>
      <c r="C345" s="34">
        <v>1</v>
      </c>
      <c r="D345" s="19"/>
      <c r="E345" s="15"/>
      <c r="F345" s="15"/>
      <c r="G345" s="35"/>
      <c r="H345" t="s">
        <v>38</v>
      </c>
      <c r="I345" t="s">
        <v>38</v>
      </c>
      <c r="J345" t="s">
        <v>38</v>
      </c>
      <c r="K345" t="s">
        <v>38</v>
      </c>
      <c r="L345" t="s">
        <v>38</v>
      </c>
    </row>
    <row r="346" spans="2:12">
      <c r="B346" s="33" t="s">
        <v>38</v>
      </c>
      <c r="C346" s="34">
        <v>1</v>
      </c>
      <c r="D346" s="19"/>
      <c r="E346" s="15"/>
      <c r="F346" s="15"/>
      <c r="G346" s="35"/>
      <c r="H346" t="s">
        <v>38</v>
      </c>
      <c r="I346" t="s">
        <v>38</v>
      </c>
      <c r="J346" t="s">
        <v>38</v>
      </c>
      <c r="K346" t="s">
        <v>38</v>
      </c>
      <c r="L346" t="s">
        <v>38</v>
      </c>
    </row>
    <row r="347" spans="2:12">
      <c r="B347" s="33" t="s">
        <v>38</v>
      </c>
      <c r="C347" s="34">
        <v>1</v>
      </c>
      <c r="D347" s="19"/>
      <c r="E347" s="15"/>
      <c r="F347" s="15"/>
      <c r="G347" s="35"/>
      <c r="H347" t="s">
        <v>38</v>
      </c>
      <c r="I347" t="s">
        <v>38</v>
      </c>
      <c r="J347" t="s">
        <v>38</v>
      </c>
      <c r="K347" t="s">
        <v>38</v>
      </c>
      <c r="L347" t="s">
        <v>38</v>
      </c>
    </row>
    <row r="348" spans="2:12">
      <c r="B348" s="33" t="s">
        <v>38</v>
      </c>
      <c r="C348" s="34">
        <v>2</v>
      </c>
      <c r="D348" s="19"/>
      <c r="E348" s="15"/>
      <c r="F348" s="15"/>
      <c r="G348" s="35"/>
      <c r="H348" t="s">
        <v>38</v>
      </c>
      <c r="I348" t="s">
        <v>38</v>
      </c>
      <c r="J348" t="s">
        <v>38</v>
      </c>
      <c r="K348" t="s">
        <v>38</v>
      </c>
      <c r="L348" t="s">
        <v>38</v>
      </c>
    </row>
    <row r="349" spans="2:12">
      <c r="B349" s="33" t="s">
        <v>38</v>
      </c>
      <c r="C349" s="34">
        <v>1</v>
      </c>
      <c r="D349" s="19"/>
      <c r="E349" s="15"/>
      <c r="F349" s="15"/>
      <c r="G349" s="35"/>
      <c r="H349" t="s">
        <v>38</v>
      </c>
      <c r="I349" t="s">
        <v>38</v>
      </c>
      <c r="J349" t="s">
        <v>38</v>
      </c>
      <c r="K349" t="s">
        <v>38</v>
      </c>
      <c r="L349" t="s">
        <v>38</v>
      </c>
    </row>
    <row r="350" spans="2:12">
      <c r="B350" s="33" t="s">
        <v>38</v>
      </c>
      <c r="C350" s="34">
        <v>1</v>
      </c>
      <c r="D350" s="19"/>
      <c r="E350" s="15"/>
      <c r="F350" s="15"/>
      <c r="G350" s="35"/>
      <c r="H350" t="s">
        <v>38</v>
      </c>
      <c r="I350" t="s">
        <v>38</v>
      </c>
      <c r="J350" t="s">
        <v>38</v>
      </c>
      <c r="K350" t="s">
        <v>38</v>
      </c>
      <c r="L350" t="s">
        <v>38</v>
      </c>
    </row>
    <row r="351" spans="2:12">
      <c r="B351" s="33" t="s">
        <v>38</v>
      </c>
      <c r="C351" s="34">
        <v>1</v>
      </c>
      <c r="D351" s="19"/>
      <c r="E351" s="15"/>
      <c r="F351" s="15"/>
      <c r="G351" s="35"/>
      <c r="H351" t="s">
        <v>38</v>
      </c>
      <c r="I351" t="s">
        <v>38</v>
      </c>
      <c r="J351" t="s">
        <v>38</v>
      </c>
      <c r="K351" t="s">
        <v>38</v>
      </c>
      <c r="L351" t="s">
        <v>38</v>
      </c>
    </row>
    <row r="352" spans="2:12">
      <c r="B352" s="33" t="s">
        <v>38</v>
      </c>
      <c r="C352" s="34">
        <v>1</v>
      </c>
      <c r="D352" s="19"/>
      <c r="E352" s="15"/>
      <c r="F352" s="15"/>
      <c r="G352" s="35"/>
      <c r="H352" t="s">
        <v>38</v>
      </c>
      <c r="I352" t="s">
        <v>38</v>
      </c>
      <c r="J352" t="s">
        <v>38</v>
      </c>
      <c r="K352" t="s">
        <v>38</v>
      </c>
      <c r="L352" t="s">
        <v>38</v>
      </c>
    </row>
    <row r="353" spans="1:16">
      <c r="B353" s="33" t="s">
        <v>38</v>
      </c>
      <c r="C353" s="34">
        <v>1</v>
      </c>
      <c r="D353" s="19"/>
      <c r="E353" s="15"/>
      <c r="F353" s="15"/>
      <c r="G353" s="35"/>
      <c r="H353" t="s">
        <v>38</v>
      </c>
      <c r="I353" t="s">
        <v>38</v>
      </c>
      <c r="J353" t="s">
        <v>38</v>
      </c>
      <c r="K353" t="s">
        <v>38</v>
      </c>
      <c r="L353" t="s">
        <v>38</v>
      </c>
    </row>
    <row r="354" spans="1:16">
      <c r="B354" s="33" t="s">
        <v>38</v>
      </c>
      <c r="C354" s="34">
        <v>1</v>
      </c>
      <c r="D354" s="19"/>
      <c r="E354" s="15"/>
      <c r="F354" s="15"/>
      <c r="G354" s="35"/>
      <c r="H354" t="s">
        <v>38</v>
      </c>
      <c r="I354" t="s">
        <v>38</v>
      </c>
      <c r="J354" t="s">
        <v>38</v>
      </c>
      <c r="K354" t="s">
        <v>38</v>
      </c>
      <c r="L354" t="s">
        <v>38</v>
      </c>
    </row>
    <row r="355" spans="1:16">
      <c r="B355" s="33" t="s">
        <v>38</v>
      </c>
      <c r="C355" s="34">
        <v>1</v>
      </c>
      <c r="D355" s="19"/>
      <c r="E355" s="15"/>
      <c r="F355" s="15"/>
      <c r="G355" s="35"/>
      <c r="H355" t="s">
        <v>38</v>
      </c>
      <c r="I355" t="s">
        <v>38</v>
      </c>
      <c r="J355" t="s">
        <v>38</v>
      </c>
      <c r="K355" t="s">
        <v>38</v>
      </c>
      <c r="L355" t="s">
        <v>38</v>
      </c>
    </row>
    <row r="356" spans="1:16">
      <c r="B356" s="33" t="s">
        <v>38</v>
      </c>
      <c r="C356" s="34">
        <v>1</v>
      </c>
      <c r="D356" s="19"/>
      <c r="E356" s="15"/>
      <c r="F356" s="15"/>
      <c r="G356" s="35"/>
      <c r="H356" t="s">
        <v>38</v>
      </c>
      <c r="I356" t="s">
        <v>38</v>
      </c>
      <c r="J356" t="s">
        <v>38</v>
      </c>
      <c r="K356" t="s">
        <v>38</v>
      </c>
      <c r="L356" t="s">
        <v>38</v>
      </c>
    </row>
    <row r="357" spans="1:16">
      <c r="B357" s="33" t="s">
        <v>38</v>
      </c>
      <c r="C357" s="34">
        <v>1</v>
      </c>
      <c r="D357" s="19"/>
      <c r="E357" s="15"/>
      <c r="F357" s="15"/>
      <c r="G357" s="35"/>
      <c r="H357" t="s">
        <v>38</v>
      </c>
      <c r="I357" t="s">
        <v>38</v>
      </c>
      <c r="J357" t="s">
        <v>38</v>
      </c>
      <c r="K357" t="s">
        <v>38</v>
      </c>
      <c r="L357" t="s">
        <v>38</v>
      </c>
    </row>
    <row r="358" spans="1:16">
      <c r="B358" s="33" t="s">
        <v>38</v>
      </c>
      <c r="C358" s="34">
        <v>1</v>
      </c>
      <c r="D358" s="19"/>
      <c r="E358" s="15"/>
      <c r="F358" s="15"/>
      <c r="G358" s="35"/>
      <c r="H358" t="s">
        <v>38</v>
      </c>
      <c r="I358" t="s">
        <v>38</v>
      </c>
      <c r="J358" t="s">
        <v>38</v>
      </c>
      <c r="K358" t="s">
        <v>38</v>
      </c>
      <c r="L358" t="s">
        <v>38</v>
      </c>
    </row>
    <row r="359" spans="1:16">
      <c r="B359" s="33" t="s">
        <v>38</v>
      </c>
      <c r="C359" s="34">
        <v>1</v>
      </c>
      <c r="D359" s="19"/>
      <c r="E359" s="15"/>
      <c r="F359" s="15"/>
      <c r="G359" s="35"/>
      <c r="H359" t="s">
        <v>38</v>
      </c>
      <c r="I359" t="s">
        <v>38</v>
      </c>
      <c r="J359" t="s">
        <v>38</v>
      </c>
      <c r="K359" t="s">
        <v>38</v>
      </c>
      <c r="L359" t="s">
        <v>38</v>
      </c>
    </row>
    <row r="360" spans="1:16">
      <c r="B360" s="33" t="s">
        <v>38</v>
      </c>
      <c r="C360" s="34">
        <v>1</v>
      </c>
      <c r="D360" s="19"/>
      <c r="E360" s="15"/>
      <c r="F360" s="15"/>
      <c r="G360" s="35"/>
      <c r="H360" t="s">
        <v>38</v>
      </c>
      <c r="I360" t="s">
        <v>38</v>
      </c>
      <c r="J360" t="s">
        <v>38</v>
      </c>
      <c r="K360" t="s">
        <v>38</v>
      </c>
      <c r="L360" t="s">
        <v>38</v>
      </c>
    </row>
    <row r="361" spans="1:16">
      <c r="B361" s="33" t="s">
        <v>38</v>
      </c>
      <c r="C361" s="34">
        <v>1</v>
      </c>
      <c r="D361" s="19"/>
      <c r="E361" s="15"/>
      <c r="F361" s="15"/>
      <c r="G361" s="35"/>
      <c r="H361" t="s">
        <v>38</v>
      </c>
      <c r="I361" t="s">
        <v>38</v>
      </c>
      <c r="J361" t="s">
        <v>38</v>
      </c>
      <c r="K361" t="s">
        <v>38</v>
      </c>
      <c r="L361" t="s">
        <v>38</v>
      </c>
    </row>
    <row r="362" spans="1:16">
      <c r="B362" s="33" t="s">
        <v>38</v>
      </c>
      <c r="C362" s="34">
        <v>1</v>
      </c>
      <c r="D362" s="19"/>
      <c r="E362" s="15"/>
      <c r="F362" s="15"/>
      <c r="G362" s="35"/>
      <c r="H362" t="s">
        <v>38</v>
      </c>
      <c r="I362" t="s">
        <v>38</v>
      </c>
      <c r="J362" t="s">
        <v>38</v>
      </c>
      <c r="K362" t="s">
        <v>38</v>
      </c>
      <c r="L362" t="s">
        <v>38</v>
      </c>
    </row>
    <row r="363" spans="1:16">
      <c r="B363" s="33" t="s">
        <v>38</v>
      </c>
      <c r="C363" s="34">
        <v>1</v>
      </c>
      <c r="D363" s="19"/>
      <c r="E363" s="15"/>
      <c r="F363" s="15"/>
      <c r="G363" s="35"/>
      <c r="H363" t="s">
        <v>38</v>
      </c>
      <c r="I363" t="s">
        <v>38</v>
      </c>
      <c r="J363" t="s">
        <v>38</v>
      </c>
      <c r="K363" t="s">
        <v>38</v>
      </c>
      <c r="L363" t="s">
        <v>38</v>
      </c>
    </row>
    <row r="364" ht="15.15" spans="1:16">
      <c r="B364" s="36" t="s">
        <v>38</v>
      </c>
      <c r="C364" s="37">
        <v>1</v>
      </c>
      <c r="D364" s="23"/>
      <c r="E364" s="24"/>
      <c r="F364" s="24"/>
      <c r="G364" s="38"/>
      <c r="H364" t="s">
        <v>38</v>
      </c>
      <c r="I364" t="s">
        <v>38</v>
      </c>
      <c r="J364" t="s">
        <v>38</v>
      </c>
      <c r="K364" t="s">
        <v>38</v>
      </c>
      <c r="L364" t="s">
        <v>38</v>
      </c>
    </row>
    <row r="367" spans="1:16">
      <c r="A367" t="s">
        <v>56</v>
      </c>
      <c r="B367" s="40" t="s">
        <v>196</v>
      </c>
      <c r="C367" s="41"/>
      <c r="D367" s="42"/>
      <c r="E367" s="43">
        <v>0</v>
      </c>
      <c r="F367" s="44"/>
      <c r="G367" s="35"/>
      <c r="H367" t="s">
        <v>38</v>
      </c>
      <c r="I367" t="s">
        <v>38</v>
      </c>
      <c r="J367" t="s">
        <v>38</v>
      </c>
      <c r="K367" t="s">
        <v>38</v>
      </c>
      <c r="L367" t="s">
        <v>38</v>
      </c>
      <c r="O367" s="11">
        <v>40</v>
      </c>
      <c r="P367" s="39">
        <v>48733.96</v>
      </c>
    </row>
    <row r="368" spans="1:16">
      <c r="A368" s="11"/>
      <c r="B368" s="40" t="s">
        <v>190</v>
      </c>
      <c r="C368" s="41">
        <v>1</v>
      </c>
      <c r="D368" s="42"/>
      <c r="E368" s="15">
        <v>1</v>
      </c>
      <c r="F368" s="44"/>
      <c r="G368" s="35"/>
      <c r="H368" t="s">
        <v>327</v>
      </c>
      <c r="I368" t="s">
        <v>38</v>
      </c>
      <c r="J368" t="s">
        <v>38</v>
      </c>
      <c r="K368" t="s">
        <v>322</v>
      </c>
      <c r="L368" t="s">
        <v>38</v>
      </c>
    </row>
    <row r="369" spans="2:14">
      <c r="B369" s="40" t="s">
        <v>202</v>
      </c>
      <c r="C369" s="41">
        <v>5</v>
      </c>
      <c r="D369" s="42"/>
      <c r="E369" s="15">
        <v>1</v>
      </c>
      <c r="F369" s="44"/>
      <c r="G369" s="35"/>
      <c r="H369" t="s">
        <v>327</v>
      </c>
      <c r="I369" t="s">
        <v>38</v>
      </c>
      <c r="J369" t="s">
        <v>38</v>
      </c>
      <c r="K369" t="s">
        <v>322</v>
      </c>
      <c r="L369" t="s">
        <v>38</v>
      </c>
      <c r="M369" t="s">
        <v>328</v>
      </c>
      <c r="N369" t="s">
        <v>300</v>
      </c>
    </row>
    <row r="370" spans="2:14">
      <c r="B370" s="40" t="s">
        <v>197</v>
      </c>
      <c r="C370" s="41">
        <v>1</v>
      </c>
      <c r="D370" s="42"/>
      <c r="E370" s="15">
        <v>2</v>
      </c>
      <c r="F370" s="44"/>
      <c r="G370" s="35"/>
      <c r="H370" t="s">
        <v>329</v>
      </c>
      <c r="I370" t="s">
        <v>38</v>
      </c>
      <c r="J370" t="s">
        <v>38</v>
      </c>
      <c r="K370" t="s">
        <v>322</v>
      </c>
      <c r="L370" t="s">
        <v>38</v>
      </c>
      <c r="M370" t="s">
        <v>328</v>
      </c>
      <c r="N370" t="s">
        <v>300</v>
      </c>
    </row>
    <row r="371" spans="2:14">
      <c r="B371" s="45" t="s">
        <v>192</v>
      </c>
      <c r="C371" s="41">
        <v>2</v>
      </c>
      <c r="D371" s="42"/>
      <c r="E371" s="15">
        <v>3</v>
      </c>
      <c r="F371" s="44"/>
      <c r="G371" s="35"/>
      <c r="H371" t="s">
        <v>329</v>
      </c>
      <c r="I371" t="s">
        <v>330</v>
      </c>
      <c r="J371" t="s">
        <v>38</v>
      </c>
      <c r="K371" t="s">
        <v>322</v>
      </c>
      <c r="L371" t="s">
        <v>38</v>
      </c>
      <c r="M371" t="s">
        <v>328</v>
      </c>
      <c r="N371" t="s">
        <v>300</v>
      </c>
    </row>
    <row r="372" spans="2:14">
      <c r="B372" s="40" t="s">
        <v>194</v>
      </c>
      <c r="C372" s="41">
        <v>2</v>
      </c>
      <c r="D372" s="42"/>
      <c r="E372" s="15">
        <v>3</v>
      </c>
      <c r="F372" s="44"/>
      <c r="G372" s="35"/>
      <c r="H372" t="s">
        <v>329</v>
      </c>
      <c r="I372" t="s">
        <v>330</v>
      </c>
      <c r="J372" t="s">
        <v>38</v>
      </c>
      <c r="K372" t="s">
        <v>322</v>
      </c>
      <c r="L372" t="s">
        <v>38</v>
      </c>
      <c r="M372" t="s">
        <v>328</v>
      </c>
      <c r="N372" t="s">
        <v>300</v>
      </c>
    </row>
    <row r="373" spans="2:14">
      <c r="B373" s="40" t="s">
        <v>192</v>
      </c>
      <c r="C373" s="41">
        <v>1</v>
      </c>
      <c r="D373" s="42"/>
      <c r="E373" s="15">
        <v>4</v>
      </c>
      <c r="F373" s="44"/>
      <c r="G373" s="35"/>
      <c r="H373" t="s">
        <v>329</v>
      </c>
      <c r="I373" t="s">
        <v>330</v>
      </c>
      <c r="J373" t="s">
        <v>38</v>
      </c>
      <c r="K373" t="s">
        <v>322</v>
      </c>
      <c r="L373" t="s">
        <v>38</v>
      </c>
      <c r="M373" t="s">
        <v>328</v>
      </c>
    </row>
    <row r="374" spans="2:14">
      <c r="B374" s="40" t="s">
        <v>194</v>
      </c>
      <c r="C374" s="41">
        <v>1</v>
      </c>
      <c r="D374" s="42"/>
      <c r="E374" s="15">
        <v>5</v>
      </c>
      <c r="F374" s="44"/>
      <c r="G374" s="35"/>
      <c r="H374" t="s">
        <v>329</v>
      </c>
      <c r="I374" t="s">
        <v>330</v>
      </c>
      <c r="J374" t="s">
        <v>38</v>
      </c>
      <c r="K374" t="s">
        <v>322</v>
      </c>
      <c r="L374" t="s">
        <v>38</v>
      </c>
      <c r="M374" t="s">
        <v>328</v>
      </c>
    </row>
    <row r="375" spans="2:14">
      <c r="B375" s="40" t="s">
        <v>139</v>
      </c>
      <c r="C375" s="41">
        <v>1</v>
      </c>
      <c r="D375" s="42"/>
      <c r="E375" s="15">
        <v>5</v>
      </c>
      <c r="F375" s="44"/>
      <c r="G375" s="35"/>
      <c r="H375" t="s">
        <v>329</v>
      </c>
      <c r="I375" t="s">
        <v>330</v>
      </c>
      <c r="J375" t="s">
        <v>331</v>
      </c>
      <c r="K375" t="s">
        <v>322</v>
      </c>
      <c r="L375" t="s">
        <v>38</v>
      </c>
      <c r="M375" t="s">
        <v>328</v>
      </c>
    </row>
    <row r="376" spans="2:14">
      <c r="B376" s="40" t="s">
        <v>207</v>
      </c>
      <c r="C376" s="41">
        <v>6</v>
      </c>
      <c r="D376" s="42"/>
      <c r="E376" s="15">
        <v>5</v>
      </c>
      <c r="F376" s="44"/>
      <c r="G376" s="35"/>
      <c r="H376" t="s">
        <v>329</v>
      </c>
      <c r="I376" t="s">
        <v>330</v>
      </c>
      <c r="J376" t="s">
        <v>332</v>
      </c>
      <c r="K376" t="s">
        <v>333</v>
      </c>
      <c r="L376" t="s">
        <v>331</v>
      </c>
      <c r="M376" t="s">
        <v>328</v>
      </c>
    </row>
    <row r="377" spans="2:14">
      <c r="B377" s="40" t="s">
        <v>204</v>
      </c>
      <c r="C377" s="41">
        <v>5</v>
      </c>
      <c r="D377" s="42"/>
      <c r="E377" s="15">
        <v>5</v>
      </c>
      <c r="F377" s="44"/>
      <c r="G377" s="35"/>
      <c r="H377" t="s">
        <v>329</v>
      </c>
      <c r="I377" t="s">
        <v>330</v>
      </c>
      <c r="J377" t="s">
        <v>332</v>
      </c>
      <c r="K377" t="s">
        <v>333</v>
      </c>
      <c r="L377" t="s">
        <v>331</v>
      </c>
      <c r="M377" t="s">
        <v>328</v>
      </c>
    </row>
    <row r="378" spans="2:14">
      <c r="B378" s="45" t="s">
        <v>206</v>
      </c>
      <c r="C378" s="41">
        <v>4</v>
      </c>
      <c r="D378" s="42"/>
      <c r="E378" s="15">
        <v>5</v>
      </c>
      <c r="F378" s="44"/>
      <c r="G378" s="35"/>
      <c r="H378" t="s">
        <v>329</v>
      </c>
      <c r="I378" t="s">
        <v>330</v>
      </c>
      <c r="J378" t="s">
        <v>332</v>
      </c>
      <c r="K378" t="s">
        <v>333</v>
      </c>
      <c r="L378" t="s">
        <v>331</v>
      </c>
      <c r="M378" t="s">
        <v>328</v>
      </c>
    </row>
    <row r="379" spans="2:14">
      <c r="B379" s="40" t="s">
        <v>205</v>
      </c>
      <c r="C379" s="41">
        <v>5</v>
      </c>
      <c r="D379" s="42"/>
      <c r="E379" s="15">
        <v>5</v>
      </c>
      <c r="F379" s="44"/>
      <c r="G379" s="35"/>
      <c r="H379" t="s">
        <v>329</v>
      </c>
      <c r="I379" t="s">
        <v>330</v>
      </c>
      <c r="J379" t="s">
        <v>332</v>
      </c>
      <c r="K379" t="s">
        <v>333</v>
      </c>
      <c r="L379" t="s">
        <v>331</v>
      </c>
      <c r="M379" t="s">
        <v>328</v>
      </c>
    </row>
    <row r="380" spans="2:14">
      <c r="B380" s="45" t="s">
        <v>133</v>
      </c>
      <c r="C380" s="22">
        <v>1</v>
      </c>
      <c r="D380" s="42"/>
      <c r="E380" s="15">
        <v>5</v>
      </c>
      <c r="F380" s="44"/>
      <c r="G380" s="35"/>
      <c r="H380" t="s">
        <v>329</v>
      </c>
      <c r="I380" t="s">
        <v>330</v>
      </c>
      <c r="J380" t="s">
        <v>38</v>
      </c>
      <c r="K380" t="s">
        <v>38</v>
      </c>
      <c r="L380" t="s">
        <v>331</v>
      </c>
      <c r="M380" t="s">
        <v>328</v>
      </c>
    </row>
    <row r="381" spans="2:14">
      <c r="B381" s="45" t="s">
        <v>192</v>
      </c>
      <c r="C381" s="41">
        <v>1</v>
      </c>
      <c r="D381" s="42"/>
      <c r="E381" s="15">
        <v>5</v>
      </c>
      <c r="F381" s="44"/>
      <c r="G381" s="35">
        <v>1</v>
      </c>
      <c r="H381" t="s">
        <v>329</v>
      </c>
      <c r="I381" t="s">
        <v>330</v>
      </c>
      <c r="J381" t="s">
        <v>38</v>
      </c>
      <c r="K381" t="s">
        <v>38</v>
      </c>
      <c r="L381" t="s">
        <v>331</v>
      </c>
      <c r="M381" t="s">
        <v>328</v>
      </c>
    </row>
    <row r="382" spans="2:14">
      <c r="B382" s="40" t="s">
        <v>194</v>
      </c>
      <c r="C382" s="41">
        <v>1</v>
      </c>
      <c r="D382" s="42"/>
      <c r="E382" s="15">
        <v>5</v>
      </c>
      <c r="F382" s="44"/>
      <c r="G382" s="35">
        <v>1</v>
      </c>
      <c r="H382" t="s">
        <v>329</v>
      </c>
      <c r="I382" t="s">
        <v>330</v>
      </c>
      <c r="J382" t="s">
        <v>38</v>
      </c>
      <c r="K382" t="s">
        <v>38</v>
      </c>
      <c r="L382" t="s">
        <v>331</v>
      </c>
      <c r="M382" t="s">
        <v>328</v>
      </c>
    </row>
    <row r="383" spans="2:14">
      <c r="B383" s="40" t="s">
        <v>190</v>
      </c>
      <c r="C383" s="41">
        <v>1</v>
      </c>
      <c r="D383" s="42"/>
      <c r="E383" s="15">
        <v>5</v>
      </c>
      <c r="F383" s="44"/>
      <c r="G383" s="35">
        <v>1</v>
      </c>
      <c r="H383" t="s">
        <v>329</v>
      </c>
      <c r="I383" t="s">
        <v>330</v>
      </c>
      <c r="J383" t="s">
        <v>38</v>
      </c>
      <c r="K383" t="s">
        <v>38</v>
      </c>
      <c r="L383" t="s">
        <v>38</v>
      </c>
      <c r="M383" t="s">
        <v>328</v>
      </c>
    </row>
    <row r="384" spans="2:14">
      <c r="B384" s="40" t="s">
        <v>202</v>
      </c>
      <c r="C384" s="41">
        <v>1</v>
      </c>
      <c r="D384" s="42"/>
      <c r="E384" s="15">
        <v>5</v>
      </c>
      <c r="F384" s="44"/>
      <c r="G384" s="35">
        <v>1</v>
      </c>
      <c r="H384" t="s">
        <v>329</v>
      </c>
      <c r="I384" t="s">
        <v>330</v>
      </c>
      <c r="J384" t="s">
        <v>38</v>
      </c>
      <c r="K384" t="s">
        <v>38</v>
      </c>
      <c r="L384" t="s">
        <v>38</v>
      </c>
      <c r="M384" t="s">
        <v>328</v>
      </c>
    </row>
    <row r="385" spans="2:14">
      <c r="B385" s="40" t="s">
        <v>197</v>
      </c>
      <c r="C385" s="41">
        <v>1</v>
      </c>
      <c r="D385" s="42"/>
      <c r="E385" s="15">
        <v>5</v>
      </c>
      <c r="F385" s="44"/>
      <c r="G385" s="35">
        <v>1</v>
      </c>
      <c r="H385" t="s">
        <v>329</v>
      </c>
      <c r="I385" t="s">
        <v>330</v>
      </c>
      <c r="J385" t="s">
        <v>38</v>
      </c>
      <c r="K385" t="s">
        <v>38</v>
      </c>
      <c r="L385" t="s">
        <v>38</v>
      </c>
      <c r="M385" t="s">
        <v>328</v>
      </c>
    </row>
    <row r="386" spans="2:14">
      <c r="B386" s="45" t="s">
        <v>192</v>
      </c>
      <c r="C386" s="41">
        <v>3</v>
      </c>
      <c r="D386" s="42"/>
      <c r="E386" s="15">
        <v>5</v>
      </c>
      <c r="F386" s="44"/>
      <c r="G386" s="35">
        <v>1</v>
      </c>
      <c r="H386" t="s">
        <v>329</v>
      </c>
      <c r="I386" t="s">
        <v>330</v>
      </c>
      <c r="J386" t="s">
        <v>38</v>
      </c>
      <c r="K386" t="s">
        <v>38</v>
      </c>
      <c r="L386" t="s">
        <v>38</v>
      </c>
      <c r="M386" t="s">
        <v>328</v>
      </c>
      <c r="N386" t="s">
        <v>300</v>
      </c>
    </row>
    <row r="387" spans="2:14">
      <c r="B387" s="40" t="s">
        <v>194</v>
      </c>
      <c r="C387" s="41">
        <v>3</v>
      </c>
      <c r="D387" s="42">
        <v>1</v>
      </c>
      <c r="E387" s="15">
        <v>5</v>
      </c>
      <c r="F387" s="15">
        <v>5</v>
      </c>
      <c r="G387" s="35">
        <v>1</v>
      </c>
      <c r="H387" t="s">
        <v>329</v>
      </c>
      <c r="I387" t="s">
        <v>330</v>
      </c>
      <c r="J387" t="s">
        <v>38</v>
      </c>
      <c r="K387" t="s">
        <v>38</v>
      </c>
      <c r="L387" t="s">
        <v>38</v>
      </c>
      <c r="M387" t="s">
        <v>328</v>
      </c>
      <c r="N387" t="s">
        <v>300</v>
      </c>
    </row>
    <row r="388" spans="2:14">
      <c r="B388" s="40" t="s">
        <v>204</v>
      </c>
      <c r="C388" s="41">
        <v>4</v>
      </c>
      <c r="D388" s="42">
        <v>1</v>
      </c>
      <c r="E388" s="15">
        <v>5</v>
      </c>
      <c r="F388" s="15">
        <v>5</v>
      </c>
      <c r="G388" s="35">
        <v>1</v>
      </c>
      <c r="H388" t="s">
        <v>329</v>
      </c>
      <c r="I388" t="s">
        <v>330</v>
      </c>
      <c r="J388" t="s">
        <v>332</v>
      </c>
      <c r="K388" t="s">
        <v>333</v>
      </c>
      <c r="L388" t="s">
        <v>38</v>
      </c>
      <c r="M388" t="s">
        <v>328</v>
      </c>
      <c r="N388" t="s">
        <v>300</v>
      </c>
    </row>
    <row r="389" spans="2:14">
      <c r="B389" s="45" t="s">
        <v>206</v>
      </c>
      <c r="C389" s="41">
        <v>3</v>
      </c>
      <c r="D389" s="42">
        <v>1</v>
      </c>
      <c r="E389" s="15">
        <v>5</v>
      </c>
      <c r="F389" s="15">
        <v>5</v>
      </c>
      <c r="G389" s="35">
        <v>1</v>
      </c>
      <c r="H389" t="s">
        <v>329</v>
      </c>
      <c r="I389" t="s">
        <v>330</v>
      </c>
      <c r="J389" t="s">
        <v>332</v>
      </c>
      <c r="K389" t="s">
        <v>333</v>
      </c>
      <c r="L389" t="s">
        <v>38</v>
      </c>
      <c r="M389" t="s">
        <v>328</v>
      </c>
      <c r="N389" t="s">
        <v>300</v>
      </c>
    </row>
    <row r="390" spans="2:14">
      <c r="B390" s="40" t="s">
        <v>205</v>
      </c>
      <c r="C390" s="41">
        <v>6</v>
      </c>
      <c r="D390" s="42">
        <v>1</v>
      </c>
      <c r="E390" s="15">
        <v>5</v>
      </c>
      <c r="F390" s="15">
        <v>5</v>
      </c>
      <c r="G390" s="35">
        <v>1</v>
      </c>
      <c r="H390" t="s">
        <v>329</v>
      </c>
      <c r="I390" t="s">
        <v>330</v>
      </c>
      <c r="J390" t="s">
        <v>332</v>
      </c>
      <c r="K390" t="s">
        <v>333</v>
      </c>
      <c r="L390" t="s">
        <v>38</v>
      </c>
      <c r="M390" t="s">
        <v>328</v>
      </c>
    </row>
    <row r="391" spans="2:14">
      <c r="B391" s="40" t="s">
        <v>207</v>
      </c>
      <c r="C391" s="41">
        <v>6</v>
      </c>
      <c r="D391" s="42">
        <v>1</v>
      </c>
      <c r="E391" s="15">
        <v>5</v>
      </c>
      <c r="F391" s="15">
        <v>5</v>
      </c>
      <c r="G391" s="35">
        <v>1</v>
      </c>
      <c r="H391" t="s">
        <v>329</v>
      </c>
      <c r="I391" t="s">
        <v>330</v>
      </c>
      <c r="J391" t="s">
        <v>332</v>
      </c>
      <c r="K391" t="s">
        <v>333</v>
      </c>
      <c r="L391" t="s">
        <v>38</v>
      </c>
      <c r="M391" t="s">
        <v>328</v>
      </c>
    </row>
    <row r="392" spans="2:14">
      <c r="B392" s="40" t="s">
        <v>139</v>
      </c>
      <c r="C392" s="41">
        <v>1</v>
      </c>
      <c r="D392" s="42">
        <v>1</v>
      </c>
      <c r="E392" s="15">
        <v>5</v>
      </c>
      <c r="F392" s="15">
        <v>5</v>
      </c>
      <c r="G392" s="35">
        <v>1</v>
      </c>
      <c r="H392" t="s">
        <v>329</v>
      </c>
      <c r="I392" t="s">
        <v>330</v>
      </c>
      <c r="J392" t="s">
        <v>38</v>
      </c>
      <c r="K392" t="s">
        <v>38</v>
      </c>
      <c r="L392" t="s">
        <v>38</v>
      </c>
      <c r="M392" t="s">
        <v>328</v>
      </c>
    </row>
    <row r="393" spans="2:14">
      <c r="B393" s="45" t="s">
        <v>192</v>
      </c>
      <c r="C393" s="41">
        <v>1</v>
      </c>
      <c r="D393" s="42">
        <v>1</v>
      </c>
      <c r="E393" s="15">
        <v>5</v>
      </c>
      <c r="F393" s="15">
        <v>5</v>
      </c>
      <c r="G393" s="35">
        <v>1</v>
      </c>
      <c r="H393" t="s">
        <v>329</v>
      </c>
      <c r="I393" t="s">
        <v>330</v>
      </c>
      <c r="J393" t="s">
        <v>38</v>
      </c>
      <c r="K393" t="s">
        <v>38</v>
      </c>
      <c r="L393" t="s">
        <v>38</v>
      </c>
      <c r="M393" t="s">
        <v>328</v>
      </c>
    </row>
    <row r="394" spans="2:14">
      <c r="B394" s="40" t="s">
        <v>194</v>
      </c>
      <c r="C394" s="41">
        <v>1</v>
      </c>
      <c r="D394" s="42">
        <v>1</v>
      </c>
      <c r="E394" s="15">
        <v>5</v>
      </c>
      <c r="F394" s="15">
        <v>5</v>
      </c>
      <c r="G394" s="35">
        <v>1</v>
      </c>
      <c r="H394" t="s">
        <v>329</v>
      </c>
      <c r="I394" t="s">
        <v>330</v>
      </c>
      <c r="J394" t="s">
        <v>38</v>
      </c>
      <c r="K394" t="s">
        <v>38</v>
      </c>
      <c r="L394" t="s">
        <v>38</v>
      </c>
      <c r="M394" t="s">
        <v>328</v>
      </c>
    </row>
    <row r="395" spans="2:14">
      <c r="B395" s="40" t="s">
        <v>133</v>
      </c>
      <c r="C395" s="22">
        <v>1</v>
      </c>
      <c r="D395" s="42">
        <v>1</v>
      </c>
      <c r="E395" s="15">
        <v>5</v>
      </c>
      <c r="F395" s="15">
        <v>5</v>
      </c>
      <c r="G395" s="35">
        <v>1</v>
      </c>
      <c r="H395" t="s">
        <v>329</v>
      </c>
      <c r="I395" t="s">
        <v>330</v>
      </c>
      <c r="J395" t="s">
        <v>38</v>
      </c>
      <c r="K395" t="s">
        <v>38</v>
      </c>
      <c r="L395" t="s">
        <v>38</v>
      </c>
      <c r="M395" t="s">
        <v>328</v>
      </c>
    </row>
    <row r="396" spans="2:14">
      <c r="B396" s="40" t="s">
        <v>190</v>
      </c>
      <c r="C396" s="41">
        <v>1</v>
      </c>
      <c r="D396" s="42">
        <v>1</v>
      </c>
      <c r="E396" s="15">
        <v>5</v>
      </c>
      <c r="F396" s="15">
        <v>5</v>
      </c>
      <c r="G396" s="35">
        <v>1</v>
      </c>
      <c r="H396" t="s">
        <v>329</v>
      </c>
      <c r="I396" t="s">
        <v>330</v>
      </c>
      <c r="J396" t="s">
        <v>38</v>
      </c>
      <c r="K396" t="s">
        <v>38</v>
      </c>
      <c r="L396" t="s">
        <v>38</v>
      </c>
      <c r="M396" t="s">
        <v>328</v>
      </c>
    </row>
    <row r="397" spans="2:14">
      <c r="B397" s="40" t="s">
        <v>202</v>
      </c>
      <c r="C397" s="41">
        <v>1</v>
      </c>
      <c r="D397" s="42">
        <v>1</v>
      </c>
      <c r="E397" s="15">
        <v>5</v>
      </c>
      <c r="F397" s="15">
        <v>5</v>
      </c>
      <c r="G397" s="35">
        <v>1</v>
      </c>
      <c r="H397" t="s">
        <v>329</v>
      </c>
      <c r="I397" t="s">
        <v>330</v>
      </c>
      <c r="J397" t="s">
        <v>38</v>
      </c>
      <c r="K397" t="s">
        <v>38</v>
      </c>
      <c r="L397" t="s">
        <v>38</v>
      </c>
      <c r="M397" t="s">
        <v>328</v>
      </c>
    </row>
    <row r="398" spans="2:14">
      <c r="B398" s="40" t="s">
        <v>197</v>
      </c>
      <c r="C398" s="41">
        <v>1</v>
      </c>
      <c r="D398" s="42"/>
      <c r="E398" s="15">
        <v>5</v>
      </c>
      <c r="F398" s="15">
        <v>5</v>
      </c>
      <c r="G398" s="35"/>
      <c r="H398" t="s">
        <v>329</v>
      </c>
      <c r="I398" t="s">
        <v>330</v>
      </c>
      <c r="J398" t="s">
        <v>38</v>
      </c>
      <c r="K398" t="s">
        <v>38</v>
      </c>
      <c r="L398" t="s">
        <v>38</v>
      </c>
      <c r="M398" t="s">
        <v>328</v>
      </c>
      <c r="N398" t="s">
        <v>300</v>
      </c>
    </row>
    <row r="399" spans="2:14">
      <c r="B399" s="45" t="s">
        <v>192</v>
      </c>
      <c r="C399" s="41">
        <v>3</v>
      </c>
      <c r="D399" s="42"/>
      <c r="E399" s="15">
        <v>5</v>
      </c>
      <c r="F399" s="15">
        <v>5</v>
      </c>
      <c r="G399" s="35"/>
      <c r="H399" t="s">
        <v>329</v>
      </c>
      <c r="I399" t="s">
        <v>330</v>
      </c>
      <c r="J399" t="s">
        <v>38</v>
      </c>
      <c r="K399" t="s">
        <v>38</v>
      </c>
      <c r="L399" t="s">
        <v>38</v>
      </c>
      <c r="M399" t="s">
        <v>328</v>
      </c>
      <c r="N399" t="s">
        <v>300</v>
      </c>
    </row>
    <row r="400" spans="2:14">
      <c r="B400" s="40" t="s">
        <v>194</v>
      </c>
      <c r="C400" s="41">
        <v>3</v>
      </c>
      <c r="D400" s="42"/>
      <c r="E400" s="15">
        <v>5</v>
      </c>
      <c r="F400" s="15">
        <v>5</v>
      </c>
      <c r="G400" s="35"/>
      <c r="H400" t="s">
        <v>329</v>
      </c>
      <c r="I400" t="s">
        <v>330</v>
      </c>
      <c r="J400" t="s">
        <v>38</v>
      </c>
      <c r="K400" t="s">
        <v>38</v>
      </c>
      <c r="L400" t="s">
        <v>38</v>
      </c>
      <c r="M400" t="s">
        <v>328</v>
      </c>
      <c r="N400" t="s">
        <v>300</v>
      </c>
    </row>
    <row r="401" spans="2:14">
      <c r="B401" s="40" t="s">
        <v>204</v>
      </c>
      <c r="C401" s="41">
        <v>4</v>
      </c>
      <c r="D401" s="42"/>
      <c r="E401" s="15">
        <v>5</v>
      </c>
      <c r="F401" s="15">
        <v>5</v>
      </c>
      <c r="G401" s="35"/>
      <c r="H401" t="s">
        <v>329</v>
      </c>
      <c r="I401" t="s">
        <v>330</v>
      </c>
      <c r="J401" t="s">
        <v>332</v>
      </c>
      <c r="K401" t="s">
        <v>333</v>
      </c>
      <c r="L401" t="s">
        <v>38</v>
      </c>
      <c r="M401" t="s">
        <v>328</v>
      </c>
      <c r="N401" t="s">
        <v>300</v>
      </c>
    </row>
    <row r="402" spans="2:14">
      <c r="B402" s="45" t="s">
        <v>206</v>
      </c>
      <c r="C402" s="41">
        <v>3</v>
      </c>
      <c r="D402" s="42"/>
      <c r="E402" s="15">
        <v>5</v>
      </c>
      <c r="F402" s="44"/>
      <c r="G402" s="35"/>
      <c r="H402" t="s">
        <v>329</v>
      </c>
      <c r="I402" t="s">
        <v>330</v>
      </c>
      <c r="J402" t="s">
        <v>332</v>
      </c>
      <c r="K402" t="s">
        <v>333</v>
      </c>
      <c r="L402" t="s">
        <v>38</v>
      </c>
      <c r="M402" t="s">
        <v>328</v>
      </c>
    </row>
    <row r="403" spans="2:14">
      <c r="B403" s="40" t="s">
        <v>205</v>
      </c>
      <c r="C403" s="41">
        <v>6</v>
      </c>
      <c r="D403" s="42"/>
      <c r="E403" s="15">
        <v>5</v>
      </c>
      <c r="F403" s="44"/>
      <c r="G403" s="35"/>
      <c r="H403" t="s">
        <v>329</v>
      </c>
      <c r="I403" t="s">
        <v>330</v>
      </c>
      <c r="J403" t="s">
        <v>332</v>
      </c>
      <c r="K403" t="s">
        <v>333</v>
      </c>
      <c r="L403" t="s">
        <v>38</v>
      </c>
      <c r="M403" t="s">
        <v>328</v>
      </c>
    </row>
    <row r="404" spans="2:14">
      <c r="B404" s="40" t="s">
        <v>207</v>
      </c>
      <c r="C404" s="41">
        <v>6</v>
      </c>
      <c r="D404" s="42"/>
      <c r="E404" s="15">
        <v>5</v>
      </c>
      <c r="F404" s="44"/>
      <c r="G404" s="35"/>
      <c r="H404" t="s">
        <v>329</v>
      </c>
      <c r="I404" t="s">
        <v>330</v>
      </c>
      <c r="J404" t="s">
        <v>332</v>
      </c>
      <c r="K404" t="s">
        <v>333</v>
      </c>
      <c r="L404" t="s">
        <v>38</v>
      </c>
      <c r="M404" t="s">
        <v>328</v>
      </c>
    </row>
    <row r="405" spans="2:14">
      <c r="B405" s="40" t="s">
        <v>139</v>
      </c>
      <c r="C405" s="41">
        <v>1</v>
      </c>
      <c r="D405" s="42"/>
      <c r="E405" s="15">
        <v>5</v>
      </c>
      <c r="F405" s="44"/>
      <c r="G405" s="35"/>
      <c r="H405" t="s">
        <v>329</v>
      </c>
      <c r="I405" t="s">
        <v>330</v>
      </c>
      <c r="J405" t="s">
        <v>38</v>
      </c>
      <c r="K405" t="s">
        <v>38</v>
      </c>
      <c r="L405" t="s">
        <v>38</v>
      </c>
      <c r="M405" t="s">
        <v>328</v>
      </c>
    </row>
    <row r="406" spans="2:14">
      <c r="B406" s="45" t="s">
        <v>192</v>
      </c>
      <c r="C406" s="41">
        <v>1</v>
      </c>
      <c r="D406" s="42"/>
      <c r="E406" s="15">
        <v>5</v>
      </c>
      <c r="F406" s="44"/>
      <c r="G406" s="35"/>
      <c r="H406" t="s">
        <v>329</v>
      </c>
      <c r="I406" t="s">
        <v>330</v>
      </c>
      <c r="J406" t="s">
        <v>38</v>
      </c>
      <c r="K406" t="s">
        <v>38</v>
      </c>
      <c r="L406" t="s">
        <v>38</v>
      </c>
      <c r="M406" t="s">
        <v>328</v>
      </c>
    </row>
    <row r="407" spans="2:14">
      <c r="B407" s="40" t="s">
        <v>194</v>
      </c>
      <c r="C407" s="41">
        <v>1</v>
      </c>
      <c r="D407" s="42"/>
      <c r="E407" s="15">
        <v>5</v>
      </c>
      <c r="F407" s="44"/>
      <c r="G407" s="35"/>
      <c r="H407" t="s">
        <v>329</v>
      </c>
      <c r="I407" t="s">
        <v>330</v>
      </c>
      <c r="J407" t="s">
        <v>38</v>
      </c>
      <c r="K407" t="s">
        <v>38</v>
      </c>
      <c r="L407" t="s">
        <v>38</v>
      </c>
      <c r="M407" t="s">
        <v>328</v>
      </c>
    </row>
    <row r="408" spans="2:14">
      <c r="B408" s="40" t="s">
        <v>133</v>
      </c>
      <c r="C408" s="22">
        <v>1</v>
      </c>
      <c r="D408" s="42"/>
      <c r="E408" s="15">
        <v>5</v>
      </c>
      <c r="F408" s="44"/>
      <c r="G408" s="35"/>
      <c r="H408" t="s">
        <v>329</v>
      </c>
      <c r="I408" t="s">
        <v>330</v>
      </c>
      <c r="J408" t="s">
        <v>38</v>
      </c>
      <c r="K408" t="s">
        <v>38</v>
      </c>
      <c r="L408" t="s">
        <v>38</v>
      </c>
      <c r="M408" t="s">
        <v>328</v>
      </c>
    </row>
    <row r="409" spans="2:14">
      <c r="B409" s="40" t="s">
        <v>129</v>
      </c>
      <c r="C409" s="18">
        <v>4</v>
      </c>
      <c r="D409" s="42"/>
      <c r="E409" s="15">
        <v>5</v>
      </c>
      <c r="F409" s="44"/>
      <c r="G409" s="35"/>
      <c r="H409" t="s">
        <v>327</v>
      </c>
      <c r="I409" t="s">
        <v>38</v>
      </c>
      <c r="J409" t="s">
        <v>38</v>
      </c>
      <c r="K409" t="s">
        <v>38</v>
      </c>
      <c r="L409" t="s">
        <v>38</v>
      </c>
      <c r="M409" t="s">
        <v>328</v>
      </c>
    </row>
    <row r="410" spans="2:14">
      <c r="B410" s="40" t="s">
        <v>129</v>
      </c>
      <c r="C410" s="18">
        <v>32</v>
      </c>
      <c r="D410" s="42"/>
      <c r="E410" s="15">
        <v>5</v>
      </c>
      <c r="F410" s="44"/>
      <c r="G410" s="35"/>
      <c r="H410" t="s">
        <v>329</v>
      </c>
      <c r="I410" t="s">
        <v>330</v>
      </c>
      <c r="J410" t="s">
        <v>38</v>
      </c>
      <c r="K410" t="s">
        <v>38</v>
      </c>
      <c r="L410" t="s">
        <v>38</v>
      </c>
      <c r="M410" t="s">
        <v>328</v>
      </c>
    </row>
    <row r="411" spans="2:14">
      <c r="B411" s="40" t="s">
        <v>130</v>
      </c>
      <c r="C411" s="18">
        <v>4</v>
      </c>
      <c r="D411" s="42"/>
      <c r="E411" s="15">
        <v>5</v>
      </c>
      <c r="F411" s="44"/>
      <c r="G411" s="35"/>
      <c r="H411" t="s">
        <v>327</v>
      </c>
      <c r="I411" t="s">
        <v>38</v>
      </c>
      <c r="J411" t="s">
        <v>38</v>
      </c>
      <c r="K411" t="s">
        <v>38</v>
      </c>
      <c r="L411" t="s">
        <v>38</v>
      </c>
      <c r="M411" t="s">
        <v>328</v>
      </c>
    </row>
    <row r="412" spans="2:14">
      <c r="B412" s="40" t="s">
        <v>130</v>
      </c>
      <c r="C412" s="18">
        <v>32</v>
      </c>
      <c r="D412" s="42"/>
      <c r="E412" s="15">
        <v>5</v>
      </c>
      <c r="F412" s="44"/>
      <c r="G412" s="35"/>
      <c r="H412" t="s">
        <v>329</v>
      </c>
      <c r="I412" t="s">
        <v>330</v>
      </c>
      <c r="J412" t="s">
        <v>38</v>
      </c>
      <c r="K412" t="s">
        <v>38</v>
      </c>
      <c r="L412" t="s">
        <v>38</v>
      </c>
      <c r="M412" t="s">
        <v>328</v>
      </c>
    </row>
    <row r="413" spans="2:14">
      <c r="B413" s="40" t="s">
        <v>142</v>
      </c>
      <c r="C413" s="41">
        <v>1</v>
      </c>
      <c r="D413" s="42"/>
      <c r="E413" s="44"/>
      <c r="F413" s="44"/>
      <c r="G413" s="35"/>
      <c r="H413" t="s">
        <v>329</v>
      </c>
      <c r="I413" t="s">
        <v>330</v>
      </c>
      <c r="J413" t="s">
        <v>38</v>
      </c>
      <c r="K413" t="s">
        <v>38</v>
      </c>
      <c r="L413" t="s">
        <v>38</v>
      </c>
      <c r="M413" t="s">
        <v>328</v>
      </c>
    </row>
    <row r="414" spans="2:14">
      <c r="B414" s="40" t="s">
        <v>143</v>
      </c>
      <c r="C414" s="41">
        <v>72</v>
      </c>
      <c r="D414" s="42"/>
      <c r="E414" s="44"/>
      <c r="F414" s="44"/>
      <c r="G414" s="35"/>
      <c r="H414" t="s">
        <v>329</v>
      </c>
      <c r="I414" t="s">
        <v>330</v>
      </c>
      <c r="J414" t="s">
        <v>332</v>
      </c>
      <c r="K414" t="s">
        <v>38</v>
      </c>
      <c r="L414" t="s">
        <v>38</v>
      </c>
      <c r="M414" t="s">
        <v>328</v>
      </c>
    </row>
    <row r="415" spans="2:14">
      <c r="B415" s="40" t="s">
        <v>155</v>
      </c>
      <c r="C415" s="41">
        <v>1</v>
      </c>
      <c r="D415" s="42"/>
      <c r="E415" s="15">
        <v>1</v>
      </c>
      <c r="F415" s="44"/>
      <c r="G415" s="35"/>
      <c r="H415" t="s">
        <v>327</v>
      </c>
      <c r="I415" t="s">
        <v>38</v>
      </c>
      <c r="J415" t="s">
        <v>38</v>
      </c>
      <c r="K415" t="s">
        <v>38</v>
      </c>
      <c r="L415" t="s">
        <v>38</v>
      </c>
    </row>
    <row r="416" spans="2:14">
      <c r="B416" s="40" t="s">
        <v>155</v>
      </c>
      <c r="C416" s="41">
        <v>1</v>
      </c>
      <c r="D416" s="42"/>
      <c r="E416" s="15">
        <v>2</v>
      </c>
      <c r="F416" s="44"/>
      <c r="G416" s="35"/>
      <c r="H416" t="s">
        <v>327</v>
      </c>
      <c r="I416" t="s">
        <v>38</v>
      </c>
      <c r="J416" t="s">
        <v>38</v>
      </c>
      <c r="K416" t="s">
        <v>38</v>
      </c>
      <c r="L416" t="s">
        <v>38</v>
      </c>
      <c r="M416" t="s">
        <v>328</v>
      </c>
    </row>
    <row r="417" spans="2:13">
      <c r="B417" s="40" t="s">
        <v>155</v>
      </c>
      <c r="C417" s="41">
        <v>1</v>
      </c>
      <c r="D417" s="42"/>
      <c r="E417" s="15">
        <v>4</v>
      </c>
      <c r="F417" s="44"/>
      <c r="G417" s="35"/>
      <c r="H417" t="s">
        <v>329</v>
      </c>
      <c r="I417" t="s">
        <v>330</v>
      </c>
      <c r="J417" t="s">
        <v>322</v>
      </c>
      <c r="K417" t="s">
        <v>38</v>
      </c>
      <c r="L417" t="s">
        <v>38</v>
      </c>
      <c r="M417" t="s">
        <v>328</v>
      </c>
    </row>
    <row r="418" spans="2:13">
      <c r="B418" s="40" t="s">
        <v>155</v>
      </c>
      <c r="C418" s="41">
        <v>2</v>
      </c>
      <c r="D418" s="42"/>
      <c r="E418" s="15">
        <v>5</v>
      </c>
      <c r="F418" s="44"/>
      <c r="G418" s="35"/>
      <c r="H418" t="s">
        <v>329</v>
      </c>
      <c r="I418" t="s">
        <v>330</v>
      </c>
      <c r="J418" t="s">
        <v>322</v>
      </c>
      <c r="K418" t="s">
        <v>38</v>
      </c>
      <c r="L418" t="s">
        <v>38</v>
      </c>
      <c r="M418" t="s">
        <v>328</v>
      </c>
    </row>
    <row r="419" spans="2:13">
      <c r="B419" s="40" t="s">
        <v>38</v>
      </c>
      <c r="C419" s="41">
        <v>1</v>
      </c>
      <c r="D419" s="42"/>
      <c r="E419" s="44"/>
      <c r="F419" s="44"/>
      <c r="G419" s="35"/>
      <c r="H419" t="s">
        <v>38</v>
      </c>
      <c r="I419" t="s">
        <v>38</v>
      </c>
      <c r="J419" t="s">
        <v>38</v>
      </c>
      <c r="K419" t="s">
        <v>38</v>
      </c>
      <c r="L419" t="s">
        <v>38</v>
      </c>
    </row>
    <row r="420" spans="2:13">
      <c r="B420" s="40" t="s">
        <v>38</v>
      </c>
      <c r="C420" s="41">
        <v>1</v>
      </c>
      <c r="D420" s="42"/>
      <c r="E420" s="44"/>
      <c r="F420" s="44"/>
      <c r="G420" s="35"/>
      <c r="H420" t="s">
        <v>38</v>
      </c>
      <c r="I420" t="s">
        <v>38</v>
      </c>
      <c r="J420" t="s">
        <v>38</v>
      </c>
      <c r="K420" t="s">
        <v>38</v>
      </c>
      <c r="L420" t="s">
        <v>38</v>
      </c>
    </row>
    <row r="421" spans="2:13">
      <c r="B421" s="40" t="s">
        <v>38</v>
      </c>
      <c r="C421" s="41">
        <v>1</v>
      </c>
      <c r="D421" s="42"/>
      <c r="E421" s="44"/>
      <c r="F421" s="44"/>
      <c r="G421" s="35"/>
      <c r="H421" t="s">
        <v>38</v>
      </c>
      <c r="I421" t="s">
        <v>38</v>
      </c>
      <c r="J421" t="s">
        <v>38</v>
      </c>
      <c r="K421" t="s">
        <v>38</v>
      </c>
      <c r="L421" t="s">
        <v>38</v>
      </c>
    </row>
    <row r="422" spans="2:13">
      <c r="B422" s="40" t="s">
        <v>38</v>
      </c>
      <c r="C422" s="41">
        <v>1</v>
      </c>
      <c r="D422" s="42"/>
      <c r="E422" s="44"/>
      <c r="F422" s="44"/>
      <c r="G422" s="35"/>
      <c r="H422" t="s">
        <v>38</v>
      </c>
      <c r="I422" t="s">
        <v>38</v>
      </c>
      <c r="J422" t="s">
        <v>38</v>
      </c>
      <c r="K422" t="s">
        <v>38</v>
      </c>
      <c r="L422" t="s">
        <v>38</v>
      </c>
    </row>
    <row r="423" spans="2:13">
      <c r="B423" s="40" t="s">
        <v>38</v>
      </c>
      <c r="C423" s="41">
        <v>1</v>
      </c>
      <c r="D423" s="42"/>
      <c r="E423" s="44"/>
      <c r="F423" s="44"/>
      <c r="G423" s="35"/>
      <c r="H423" t="s">
        <v>38</v>
      </c>
      <c r="I423" t="s">
        <v>38</v>
      </c>
      <c r="J423" t="s">
        <v>38</v>
      </c>
      <c r="K423" t="s">
        <v>38</v>
      </c>
      <c r="L423" t="s">
        <v>38</v>
      </c>
    </row>
    <row r="424" spans="2:13">
      <c r="B424" s="40" t="s">
        <v>38</v>
      </c>
      <c r="C424" s="41">
        <v>1</v>
      </c>
      <c r="D424" s="42"/>
      <c r="E424" s="44"/>
      <c r="F424" s="44"/>
      <c r="G424" s="35"/>
      <c r="H424" t="s">
        <v>38</v>
      </c>
      <c r="I424" t="s">
        <v>38</v>
      </c>
      <c r="J424" t="s">
        <v>38</v>
      </c>
      <c r="K424" t="s">
        <v>38</v>
      </c>
      <c r="L424" t="s">
        <v>38</v>
      </c>
    </row>
    <row r="425" spans="2:13">
      <c r="B425" s="40" t="s">
        <v>38</v>
      </c>
      <c r="C425" s="41">
        <v>1</v>
      </c>
      <c r="D425" s="42"/>
      <c r="E425" s="44"/>
      <c r="F425" s="44"/>
      <c r="G425" s="35"/>
      <c r="H425" t="s">
        <v>38</v>
      </c>
      <c r="I425" t="s">
        <v>38</v>
      </c>
      <c r="J425" t="s">
        <v>38</v>
      </c>
      <c r="K425" t="s">
        <v>38</v>
      </c>
      <c r="L425" t="s">
        <v>38</v>
      </c>
    </row>
    <row r="426" spans="2:13">
      <c r="B426" s="40" t="s">
        <v>38</v>
      </c>
      <c r="C426" s="41">
        <v>1</v>
      </c>
      <c r="D426" s="42"/>
      <c r="E426" s="44"/>
      <c r="F426" s="44"/>
      <c r="G426" s="35"/>
      <c r="H426" t="s">
        <v>38</v>
      </c>
      <c r="I426" t="s">
        <v>38</v>
      </c>
      <c r="J426" t="s">
        <v>38</v>
      </c>
      <c r="K426" t="s">
        <v>38</v>
      </c>
      <c r="L426" t="s">
        <v>38</v>
      </c>
    </row>
    <row r="427" spans="2:13">
      <c r="B427" s="40" t="s">
        <v>38</v>
      </c>
      <c r="C427" s="41">
        <v>1</v>
      </c>
      <c r="D427" s="42"/>
      <c r="E427" s="44"/>
      <c r="F427" s="44"/>
      <c r="G427" s="35"/>
      <c r="H427" t="s">
        <v>38</v>
      </c>
      <c r="I427" t="s">
        <v>38</v>
      </c>
      <c r="J427" t="s">
        <v>38</v>
      </c>
      <c r="K427" t="s">
        <v>38</v>
      </c>
      <c r="L427" t="s">
        <v>38</v>
      </c>
    </row>
    <row r="428" spans="2:13">
      <c r="B428" s="40" t="s">
        <v>38</v>
      </c>
      <c r="C428" s="41">
        <v>1</v>
      </c>
      <c r="D428" s="42"/>
      <c r="E428" s="44"/>
      <c r="F428" s="44"/>
      <c r="G428" s="35"/>
      <c r="H428" t="s">
        <v>38</v>
      </c>
      <c r="I428" t="s">
        <v>38</v>
      </c>
      <c r="J428" t="s">
        <v>38</v>
      </c>
      <c r="K428" t="s">
        <v>38</v>
      </c>
      <c r="L428" t="s">
        <v>38</v>
      </c>
    </row>
    <row r="429" spans="2:13">
      <c r="B429" s="45" t="s">
        <v>38</v>
      </c>
      <c r="C429" s="41">
        <v>1</v>
      </c>
      <c r="D429" s="42"/>
      <c r="E429" s="44"/>
      <c r="F429" s="44"/>
      <c r="G429" s="35"/>
      <c r="H429" t="s">
        <v>38</v>
      </c>
      <c r="I429" t="s">
        <v>38</v>
      </c>
      <c r="J429" t="s">
        <v>38</v>
      </c>
      <c r="K429" t="s">
        <v>38</v>
      </c>
      <c r="L429" t="s">
        <v>38</v>
      </c>
    </row>
    <row r="430" spans="2:13">
      <c r="B430" s="45" t="s">
        <v>38</v>
      </c>
      <c r="C430" s="41">
        <v>1</v>
      </c>
      <c r="D430" s="42"/>
      <c r="E430" s="44"/>
      <c r="F430" s="44"/>
      <c r="G430" s="35"/>
      <c r="H430" t="s">
        <v>38</v>
      </c>
      <c r="I430" t="s">
        <v>38</v>
      </c>
      <c r="J430" t="s">
        <v>38</v>
      </c>
      <c r="K430" t="s">
        <v>38</v>
      </c>
      <c r="L430" t="s">
        <v>38</v>
      </c>
    </row>
    <row r="431" spans="2:13">
      <c r="B431" s="45" t="s">
        <v>38</v>
      </c>
      <c r="C431" s="41">
        <v>1</v>
      </c>
      <c r="D431" s="42"/>
      <c r="E431" s="44"/>
      <c r="F431" s="44"/>
      <c r="G431" s="35"/>
      <c r="H431" t="s">
        <v>38</v>
      </c>
      <c r="I431" t="s">
        <v>38</v>
      </c>
      <c r="J431" t="s">
        <v>38</v>
      </c>
      <c r="K431" t="s">
        <v>38</v>
      </c>
      <c r="L431" t="s">
        <v>38</v>
      </c>
    </row>
    <row r="432" spans="2:13">
      <c r="B432" s="45" t="s">
        <v>38</v>
      </c>
      <c r="C432" s="41">
        <v>1</v>
      </c>
      <c r="D432" s="42"/>
      <c r="E432" s="44"/>
      <c r="F432" s="44"/>
      <c r="G432" s="35"/>
      <c r="H432" t="s">
        <v>38</v>
      </c>
      <c r="I432" t="s">
        <v>38</v>
      </c>
      <c r="J432" t="s">
        <v>38</v>
      </c>
      <c r="K432" t="s">
        <v>38</v>
      </c>
      <c r="L432" t="s">
        <v>38</v>
      </c>
    </row>
    <row r="433" spans="2:12">
      <c r="B433" s="45" t="s">
        <v>38</v>
      </c>
      <c r="C433" s="41">
        <v>1</v>
      </c>
      <c r="D433" s="42"/>
      <c r="E433" s="44"/>
      <c r="F433" s="44"/>
      <c r="G433" s="35"/>
      <c r="H433" t="s">
        <v>38</v>
      </c>
      <c r="I433" t="s">
        <v>38</v>
      </c>
      <c r="J433" t="s">
        <v>38</v>
      </c>
      <c r="K433" t="s">
        <v>38</v>
      </c>
      <c r="L433" t="s">
        <v>38</v>
      </c>
    </row>
    <row r="434" spans="2:12">
      <c r="B434" s="45" t="s">
        <v>38</v>
      </c>
      <c r="C434" s="41">
        <v>1</v>
      </c>
      <c r="D434" s="42"/>
      <c r="E434" s="44"/>
      <c r="F434" s="44"/>
      <c r="G434" s="35"/>
      <c r="H434" t="s">
        <v>38</v>
      </c>
      <c r="I434" t="s">
        <v>38</v>
      </c>
      <c r="J434" t="s">
        <v>38</v>
      </c>
      <c r="K434" t="s">
        <v>38</v>
      </c>
      <c r="L434" t="s">
        <v>38</v>
      </c>
    </row>
    <row r="435" spans="2:12">
      <c r="B435" s="45" t="s">
        <v>38</v>
      </c>
      <c r="C435" s="41">
        <v>1</v>
      </c>
      <c r="D435" s="42"/>
      <c r="E435" s="44"/>
      <c r="F435" s="44"/>
      <c r="G435" s="35"/>
      <c r="H435" t="s">
        <v>38</v>
      </c>
      <c r="I435" t="s">
        <v>38</v>
      </c>
      <c r="J435" t="s">
        <v>38</v>
      </c>
      <c r="K435" t="s">
        <v>38</v>
      </c>
      <c r="L435" t="s">
        <v>38</v>
      </c>
    </row>
    <row r="436" spans="2:12">
      <c r="B436" s="45" t="s">
        <v>38</v>
      </c>
      <c r="C436" s="41">
        <v>1</v>
      </c>
      <c r="D436" s="42"/>
      <c r="E436" s="44"/>
      <c r="F436" s="44"/>
      <c r="G436" s="35"/>
      <c r="H436" t="s">
        <v>38</v>
      </c>
      <c r="I436" t="s">
        <v>38</v>
      </c>
      <c r="J436" t="s">
        <v>38</v>
      </c>
      <c r="K436" t="s">
        <v>38</v>
      </c>
      <c r="L436" t="s">
        <v>38</v>
      </c>
    </row>
    <row r="437" spans="2:12">
      <c r="B437" s="45" t="s">
        <v>38</v>
      </c>
      <c r="C437" s="41">
        <v>1</v>
      </c>
      <c r="D437" s="42"/>
      <c r="E437" s="44"/>
      <c r="F437" s="44"/>
      <c r="G437" s="35"/>
      <c r="H437" t="s">
        <v>38</v>
      </c>
      <c r="I437" t="s">
        <v>38</v>
      </c>
      <c r="J437" t="s">
        <v>38</v>
      </c>
      <c r="K437" t="s">
        <v>38</v>
      </c>
      <c r="L437" t="s">
        <v>38</v>
      </c>
    </row>
    <row r="438" spans="2:12">
      <c r="B438" s="45" t="s">
        <v>38</v>
      </c>
      <c r="C438" s="41">
        <v>1</v>
      </c>
      <c r="D438" s="42"/>
      <c r="E438" s="44"/>
      <c r="F438" s="44"/>
      <c r="G438" s="35"/>
      <c r="H438" t="s">
        <v>38</v>
      </c>
      <c r="I438" t="s">
        <v>38</v>
      </c>
      <c r="J438" t="s">
        <v>38</v>
      </c>
      <c r="K438" t="s">
        <v>38</v>
      </c>
      <c r="L438" t="s">
        <v>38</v>
      </c>
    </row>
    <row r="439" spans="2:12">
      <c r="B439" s="45" t="s">
        <v>38</v>
      </c>
      <c r="C439" s="41">
        <v>1</v>
      </c>
      <c r="D439" s="42"/>
      <c r="E439" s="44"/>
      <c r="F439" s="44"/>
      <c r="G439" s="35"/>
      <c r="H439" t="s">
        <v>38</v>
      </c>
      <c r="I439" t="s">
        <v>38</v>
      </c>
      <c r="J439" t="s">
        <v>38</v>
      </c>
      <c r="K439" t="s">
        <v>38</v>
      </c>
      <c r="L439" t="s">
        <v>38</v>
      </c>
    </row>
    <row r="440" spans="2:12">
      <c r="B440" s="45" t="s">
        <v>38</v>
      </c>
      <c r="C440" s="41">
        <v>1</v>
      </c>
      <c r="D440" s="42"/>
      <c r="E440" s="44"/>
      <c r="F440" s="44"/>
      <c r="G440" s="35"/>
      <c r="H440" t="s">
        <v>38</v>
      </c>
      <c r="I440" t="s">
        <v>38</v>
      </c>
      <c r="J440" t="s">
        <v>38</v>
      </c>
      <c r="K440" t="s">
        <v>38</v>
      </c>
      <c r="L440" t="s">
        <v>38</v>
      </c>
    </row>
    <row r="441" spans="2:12">
      <c r="B441" s="40" t="s">
        <v>38</v>
      </c>
      <c r="C441" s="41">
        <v>1</v>
      </c>
      <c r="D441" s="42"/>
      <c r="E441" s="44"/>
      <c r="F441" s="44"/>
      <c r="G441" s="35"/>
      <c r="H441" t="s">
        <v>38</v>
      </c>
      <c r="I441" t="s">
        <v>38</v>
      </c>
      <c r="J441" t="s">
        <v>38</v>
      </c>
      <c r="K441" t="s">
        <v>38</v>
      </c>
      <c r="L441" t="s">
        <v>38</v>
      </c>
    </row>
    <row r="442" spans="2:12">
      <c r="B442" s="40" t="s">
        <v>38</v>
      </c>
      <c r="C442" s="41">
        <v>1</v>
      </c>
      <c r="D442" s="42"/>
      <c r="E442" s="44"/>
      <c r="F442" s="44"/>
      <c r="G442" s="35"/>
      <c r="H442" t="s">
        <v>38</v>
      </c>
      <c r="I442" t="s">
        <v>38</v>
      </c>
      <c r="J442" t="s">
        <v>38</v>
      </c>
      <c r="K442" t="s">
        <v>38</v>
      </c>
      <c r="L442" t="s">
        <v>38</v>
      </c>
    </row>
    <row r="443" spans="2:12">
      <c r="B443" s="40" t="s">
        <v>38</v>
      </c>
      <c r="C443" s="41">
        <v>1</v>
      </c>
      <c r="D443" s="42"/>
      <c r="E443" s="44"/>
      <c r="F443" s="44"/>
      <c r="G443" s="35"/>
      <c r="H443" t="s">
        <v>38</v>
      </c>
      <c r="I443" t="s">
        <v>38</v>
      </c>
      <c r="J443" t="s">
        <v>38</v>
      </c>
      <c r="K443" t="s">
        <v>38</v>
      </c>
      <c r="L443" t="s">
        <v>38</v>
      </c>
    </row>
    <row r="444" spans="2:12">
      <c r="B444" s="40" t="s">
        <v>38</v>
      </c>
      <c r="C444" s="41">
        <v>1</v>
      </c>
      <c r="D444" s="42"/>
      <c r="E444" s="44"/>
      <c r="F444" s="44"/>
      <c r="G444" s="35"/>
      <c r="H444" t="s">
        <v>38</v>
      </c>
      <c r="I444" t="s">
        <v>38</v>
      </c>
      <c r="J444" t="s">
        <v>38</v>
      </c>
      <c r="K444" t="s">
        <v>38</v>
      </c>
      <c r="L444" t="s">
        <v>38</v>
      </c>
    </row>
    <row r="445" spans="2:12">
      <c r="B445" s="40" t="s">
        <v>38</v>
      </c>
      <c r="C445" s="41">
        <v>1</v>
      </c>
      <c r="D445" s="42"/>
      <c r="E445" s="44"/>
      <c r="F445" s="44"/>
      <c r="G445" s="35"/>
      <c r="H445" t="s">
        <v>38</v>
      </c>
      <c r="I445" t="s">
        <v>38</v>
      </c>
      <c r="J445" t="s">
        <v>38</v>
      </c>
      <c r="K445" t="s">
        <v>38</v>
      </c>
      <c r="L445" t="s">
        <v>38</v>
      </c>
    </row>
    <row r="446" spans="2:12">
      <c r="B446" s="40" t="s">
        <v>38</v>
      </c>
      <c r="C446" s="41">
        <v>1</v>
      </c>
      <c r="D446" s="42"/>
      <c r="E446" s="44"/>
      <c r="F446" s="44"/>
      <c r="G446" s="35"/>
      <c r="H446" t="s">
        <v>38</v>
      </c>
      <c r="I446" t="s">
        <v>38</v>
      </c>
      <c r="J446" t="s">
        <v>38</v>
      </c>
      <c r="K446" t="s">
        <v>38</v>
      </c>
      <c r="L446" t="s">
        <v>38</v>
      </c>
    </row>
    <row r="447" spans="2:12">
      <c r="B447" s="40" t="s">
        <v>38</v>
      </c>
      <c r="C447" s="41">
        <v>1</v>
      </c>
      <c r="D447" s="42"/>
      <c r="E447" s="44"/>
      <c r="F447" s="44"/>
      <c r="G447" s="35"/>
      <c r="H447" t="s">
        <v>38</v>
      </c>
      <c r="I447" t="s">
        <v>38</v>
      </c>
      <c r="J447" t="s">
        <v>38</v>
      </c>
      <c r="K447" t="s">
        <v>38</v>
      </c>
      <c r="L447" t="s">
        <v>38</v>
      </c>
    </row>
    <row r="448" spans="2:12">
      <c r="B448" s="40" t="s">
        <v>38</v>
      </c>
      <c r="C448" s="41">
        <v>1</v>
      </c>
      <c r="D448" s="42"/>
      <c r="E448" s="44"/>
      <c r="F448" s="44"/>
      <c r="G448" s="35"/>
      <c r="H448" t="s">
        <v>38</v>
      </c>
      <c r="I448" t="s">
        <v>38</v>
      </c>
      <c r="J448" t="s">
        <v>38</v>
      </c>
      <c r="K448" t="s">
        <v>38</v>
      </c>
      <c r="L448" t="s">
        <v>38</v>
      </c>
    </row>
    <row r="449" spans="1:16">
      <c r="B449" s="40" t="s">
        <v>38</v>
      </c>
      <c r="C449" s="41">
        <v>1</v>
      </c>
      <c r="D449" s="42"/>
      <c r="E449" s="44"/>
      <c r="F449" s="44"/>
      <c r="G449" s="35"/>
      <c r="H449" t="s">
        <v>38</v>
      </c>
      <c r="I449" t="s">
        <v>38</v>
      </c>
      <c r="J449" t="s">
        <v>38</v>
      </c>
      <c r="K449" t="s">
        <v>38</v>
      </c>
      <c r="L449" t="s">
        <v>38</v>
      </c>
    </row>
    <row r="450" spans="1:16">
      <c r="B450" s="40" t="s">
        <v>38</v>
      </c>
      <c r="C450" s="41">
        <v>1</v>
      </c>
      <c r="D450" s="42"/>
      <c r="E450" s="44"/>
      <c r="F450" s="44"/>
      <c r="G450" s="35"/>
      <c r="H450" t="s">
        <v>38</v>
      </c>
      <c r="I450" t="s">
        <v>38</v>
      </c>
      <c r="J450" t="s">
        <v>38</v>
      </c>
      <c r="K450" t="s">
        <v>38</v>
      </c>
      <c r="L450" t="s">
        <v>38</v>
      </c>
    </row>
    <row r="451" spans="1:16">
      <c r="B451" s="40" t="s">
        <v>38</v>
      </c>
      <c r="C451" s="41">
        <v>1</v>
      </c>
      <c r="D451" s="42"/>
      <c r="E451" s="44"/>
      <c r="F451" s="44"/>
      <c r="G451" s="35"/>
      <c r="H451" t="s">
        <v>38</v>
      </c>
      <c r="I451" t="s">
        <v>38</v>
      </c>
      <c r="J451" t="s">
        <v>38</v>
      </c>
      <c r="K451" t="s">
        <v>38</v>
      </c>
      <c r="L451" t="s">
        <v>38</v>
      </c>
    </row>
    <row r="452" spans="1:16">
      <c r="B452" s="40" t="s">
        <v>38</v>
      </c>
      <c r="C452" s="41">
        <v>1</v>
      </c>
      <c r="D452" s="42"/>
      <c r="E452" s="44"/>
      <c r="F452" s="44"/>
      <c r="G452" s="35"/>
      <c r="H452" t="s">
        <v>38</v>
      </c>
      <c r="I452" t="s">
        <v>38</v>
      </c>
      <c r="J452" t="s">
        <v>38</v>
      </c>
      <c r="K452" t="s">
        <v>38</v>
      </c>
      <c r="L452" t="s">
        <v>38</v>
      </c>
    </row>
    <row r="453" spans="1:16">
      <c r="B453" s="45" t="s">
        <v>38</v>
      </c>
      <c r="C453" s="41">
        <v>1</v>
      </c>
      <c r="D453" s="42"/>
      <c r="E453" s="44"/>
      <c r="F453" s="44"/>
      <c r="G453" s="35"/>
      <c r="H453" t="s">
        <v>38</v>
      </c>
      <c r="I453" t="s">
        <v>38</v>
      </c>
      <c r="J453" t="s">
        <v>38</v>
      </c>
      <c r="K453" t="s">
        <v>38</v>
      </c>
      <c r="L453" t="s">
        <v>38</v>
      </c>
    </row>
    <row r="454" spans="1:16">
      <c r="B454" s="45" t="s">
        <v>38</v>
      </c>
      <c r="C454" s="41">
        <v>1</v>
      </c>
      <c r="D454" s="42"/>
      <c r="E454" s="44"/>
      <c r="F454" s="44"/>
      <c r="G454" s="35"/>
      <c r="H454" t="s">
        <v>38</v>
      </c>
      <c r="I454" t="s">
        <v>38</v>
      </c>
      <c r="J454" t="s">
        <v>38</v>
      </c>
      <c r="K454" t="s">
        <v>38</v>
      </c>
      <c r="L454" t="s">
        <v>38</v>
      </c>
    </row>
    <row r="455" spans="1:16">
      <c r="B455" s="45" t="s">
        <v>38</v>
      </c>
      <c r="C455" s="41">
        <v>1</v>
      </c>
      <c r="D455" s="42"/>
      <c r="E455" s="44"/>
      <c r="F455" s="44"/>
      <c r="G455" s="35"/>
      <c r="H455" t="s">
        <v>38</v>
      </c>
      <c r="I455" t="s">
        <v>38</v>
      </c>
      <c r="J455" t="s">
        <v>38</v>
      </c>
      <c r="K455" t="s">
        <v>38</v>
      </c>
      <c r="L455" t="s">
        <v>38</v>
      </c>
    </row>
    <row r="456" ht="15.15" spans="1:16">
      <c r="B456" s="45" t="s">
        <v>38</v>
      </c>
      <c r="C456" s="41">
        <v>1</v>
      </c>
      <c r="D456" s="46"/>
      <c r="E456" s="47"/>
      <c r="F456" s="47"/>
      <c r="G456" s="38"/>
      <c r="H456" t="s">
        <v>38</v>
      </c>
      <c r="I456" t="s">
        <v>38</v>
      </c>
      <c r="J456" t="s">
        <v>38</v>
      </c>
      <c r="K456" t="s">
        <v>38</v>
      </c>
      <c r="L456" t="s">
        <v>38</v>
      </c>
    </row>
    <row r="458" spans="1:16">
      <c r="A458" t="s">
        <v>57</v>
      </c>
      <c r="B458" s="40" t="s">
        <v>196</v>
      </c>
      <c r="C458" s="41"/>
      <c r="D458" s="42"/>
      <c r="E458" s="43">
        <v>0</v>
      </c>
      <c r="F458" s="44"/>
      <c r="G458" s="35"/>
      <c r="H458" t="s">
        <v>38</v>
      </c>
      <c r="I458" t="s">
        <v>38</v>
      </c>
      <c r="J458" t="s">
        <v>38</v>
      </c>
      <c r="K458" t="s">
        <v>38</v>
      </c>
      <c r="L458" t="s">
        <v>38</v>
      </c>
      <c r="O458" s="11">
        <v>42</v>
      </c>
      <c r="P458" s="39">
        <v>48733.96</v>
      </c>
    </row>
    <row r="459" spans="1:16">
      <c r="A459" s="11"/>
      <c r="B459" s="40" t="s">
        <v>190</v>
      </c>
      <c r="C459" s="41">
        <v>1</v>
      </c>
      <c r="D459" s="42"/>
      <c r="E459" s="15">
        <v>1</v>
      </c>
      <c r="F459" s="44"/>
      <c r="G459" s="35"/>
      <c r="H459" t="s">
        <v>327</v>
      </c>
      <c r="I459" t="s">
        <v>38</v>
      </c>
      <c r="J459" t="s">
        <v>38</v>
      </c>
      <c r="K459" t="s">
        <v>322</v>
      </c>
      <c r="L459" t="s">
        <v>38</v>
      </c>
    </row>
    <row r="460" spans="1:16">
      <c r="B460" s="40" t="s">
        <v>202</v>
      </c>
      <c r="C460" s="41">
        <v>5</v>
      </c>
      <c r="D460" s="42"/>
      <c r="E460" s="15">
        <v>1</v>
      </c>
      <c r="F460" s="44"/>
      <c r="G460" s="35"/>
      <c r="H460" t="s">
        <v>327</v>
      </c>
      <c r="I460" t="s">
        <v>38</v>
      </c>
      <c r="J460" t="s">
        <v>38</v>
      </c>
      <c r="K460" t="s">
        <v>322</v>
      </c>
      <c r="L460" t="s">
        <v>38</v>
      </c>
      <c r="M460" t="s">
        <v>328</v>
      </c>
      <c r="N460" t="s">
        <v>300</v>
      </c>
    </row>
    <row r="461" spans="1:16">
      <c r="B461" s="40" t="s">
        <v>197</v>
      </c>
      <c r="C461" s="41">
        <v>1</v>
      </c>
      <c r="D461" s="42"/>
      <c r="E461" s="15">
        <v>2</v>
      </c>
      <c r="F461" s="44"/>
      <c r="G461" s="35"/>
      <c r="H461" t="s">
        <v>329</v>
      </c>
      <c r="I461" t="s">
        <v>38</v>
      </c>
      <c r="J461" t="s">
        <v>38</v>
      </c>
      <c r="K461" t="s">
        <v>322</v>
      </c>
      <c r="L461" t="s">
        <v>38</v>
      </c>
      <c r="M461" t="s">
        <v>328</v>
      </c>
      <c r="N461" t="s">
        <v>300</v>
      </c>
    </row>
    <row r="462" spans="1:16">
      <c r="B462" s="45" t="s">
        <v>192</v>
      </c>
      <c r="C462" s="41">
        <v>2</v>
      </c>
      <c r="D462" s="42"/>
      <c r="E462" s="15">
        <v>3</v>
      </c>
      <c r="F462" s="44"/>
      <c r="G462" s="35"/>
      <c r="H462" t="s">
        <v>329</v>
      </c>
      <c r="I462" t="s">
        <v>330</v>
      </c>
      <c r="J462" t="s">
        <v>38</v>
      </c>
      <c r="K462" t="s">
        <v>322</v>
      </c>
      <c r="L462" t="s">
        <v>38</v>
      </c>
      <c r="M462" t="s">
        <v>328</v>
      </c>
      <c r="N462" t="s">
        <v>300</v>
      </c>
    </row>
    <row r="463" spans="1:16">
      <c r="B463" s="40" t="s">
        <v>194</v>
      </c>
      <c r="C463" s="41">
        <v>2</v>
      </c>
      <c r="D463" s="42"/>
      <c r="E463" s="15">
        <v>3</v>
      </c>
      <c r="F463" s="44"/>
      <c r="G463" s="35"/>
      <c r="H463" t="s">
        <v>329</v>
      </c>
      <c r="I463" t="s">
        <v>330</v>
      </c>
      <c r="J463" t="s">
        <v>38</v>
      </c>
      <c r="K463" t="s">
        <v>322</v>
      </c>
      <c r="L463" t="s">
        <v>38</v>
      </c>
      <c r="M463" t="s">
        <v>328</v>
      </c>
      <c r="N463" t="s">
        <v>300</v>
      </c>
    </row>
    <row r="464" spans="1:16">
      <c r="B464" s="40" t="s">
        <v>192</v>
      </c>
      <c r="C464" s="41">
        <v>1</v>
      </c>
      <c r="D464" s="42"/>
      <c r="E464" s="15">
        <v>4</v>
      </c>
      <c r="F464" s="44"/>
      <c r="G464" s="35"/>
      <c r="H464" t="s">
        <v>329</v>
      </c>
      <c r="I464" t="s">
        <v>330</v>
      </c>
      <c r="J464" t="s">
        <v>38</v>
      </c>
      <c r="K464" t="s">
        <v>322</v>
      </c>
      <c r="L464" t="s">
        <v>38</v>
      </c>
      <c r="M464" t="s">
        <v>328</v>
      </c>
    </row>
    <row r="465" spans="2:14">
      <c r="B465" s="40" t="s">
        <v>194</v>
      </c>
      <c r="C465" s="41">
        <v>1</v>
      </c>
      <c r="D465" s="42"/>
      <c r="E465" s="15">
        <v>5</v>
      </c>
      <c r="F465" s="44"/>
      <c r="G465" s="35"/>
      <c r="H465" t="s">
        <v>329</v>
      </c>
      <c r="I465" t="s">
        <v>330</v>
      </c>
      <c r="J465" t="s">
        <v>38</v>
      </c>
      <c r="K465" t="s">
        <v>322</v>
      </c>
      <c r="L465" t="s">
        <v>38</v>
      </c>
      <c r="M465" t="s">
        <v>328</v>
      </c>
    </row>
    <row r="466" spans="2:14">
      <c r="B466" s="40" t="s">
        <v>140</v>
      </c>
      <c r="C466" s="41">
        <v>1</v>
      </c>
      <c r="D466" s="42"/>
      <c r="E466" s="15">
        <v>5</v>
      </c>
      <c r="F466" s="44"/>
      <c r="G466" s="35"/>
      <c r="H466" t="s">
        <v>329</v>
      </c>
      <c r="I466" t="s">
        <v>330</v>
      </c>
      <c r="J466" t="s">
        <v>331</v>
      </c>
      <c r="K466" t="s">
        <v>322</v>
      </c>
      <c r="L466" t="s">
        <v>38</v>
      </c>
      <c r="M466" t="s">
        <v>328</v>
      </c>
    </row>
    <row r="467" spans="2:14">
      <c r="B467" s="40" t="s">
        <v>207</v>
      </c>
      <c r="C467" s="41">
        <v>4</v>
      </c>
      <c r="D467" s="42"/>
      <c r="E467" s="15">
        <v>5</v>
      </c>
      <c r="F467" s="44"/>
      <c r="G467" s="35"/>
      <c r="H467" t="s">
        <v>329</v>
      </c>
      <c r="I467" t="s">
        <v>330</v>
      </c>
      <c r="J467" t="s">
        <v>332</v>
      </c>
      <c r="K467" t="s">
        <v>333</v>
      </c>
      <c r="L467" t="s">
        <v>331</v>
      </c>
      <c r="M467" t="s">
        <v>328</v>
      </c>
    </row>
    <row r="468" spans="2:14">
      <c r="B468" s="40" t="s">
        <v>204</v>
      </c>
      <c r="C468" s="41">
        <v>8</v>
      </c>
      <c r="D468" s="42"/>
      <c r="E468" s="15">
        <v>5</v>
      </c>
      <c r="F468" s="44"/>
      <c r="G468" s="35"/>
      <c r="H468" t="s">
        <v>329</v>
      </c>
      <c r="I468" t="s">
        <v>330</v>
      </c>
      <c r="J468" t="s">
        <v>332</v>
      </c>
      <c r="K468" t="s">
        <v>333</v>
      </c>
      <c r="L468" t="s">
        <v>331</v>
      </c>
      <c r="M468" t="s">
        <v>328</v>
      </c>
    </row>
    <row r="469" spans="2:14">
      <c r="B469" s="45" t="s">
        <v>206</v>
      </c>
      <c r="C469" s="41">
        <v>4</v>
      </c>
      <c r="D469" s="42"/>
      <c r="E469" s="15">
        <v>5</v>
      </c>
      <c r="F469" s="44"/>
      <c r="G469" s="35"/>
      <c r="H469" t="s">
        <v>329</v>
      </c>
      <c r="I469" t="s">
        <v>330</v>
      </c>
      <c r="J469" t="s">
        <v>332</v>
      </c>
      <c r="K469" t="s">
        <v>333</v>
      </c>
      <c r="L469" t="s">
        <v>331</v>
      </c>
      <c r="M469" t="s">
        <v>328</v>
      </c>
    </row>
    <row r="470" spans="2:14">
      <c r="B470" s="40" t="s">
        <v>205</v>
      </c>
      <c r="C470" s="41">
        <v>1</v>
      </c>
      <c r="D470" s="42"/>
      <c r="E470" s="15">
        <v>5</v>
      </c>
      <c r="F470" s="44"/>
      <c r="G470" s="35"/>
      <c r="H470" t="s">
        <v>329</v>
      </c>
      <c r="I470" t="s">
        <v>330</v>
      </c>
      <c r="J470" t="s">
        <v>332</v>
      </c>
      <c r="K470" t="s">
        <v>333</v>
      </c>
      <c r="L470" t="s">
        <v>331</v>
      </c>
      <c r="M470" t="s">
        <v>328</v>
      </c>
    </row>
    <row r="471" spans="2:14">
      <c r="B471" s="45" t="s">
        <v>133</v>
      </c>
      <c r="C471" s="22">
        <v>1</v>
      </c>
      <c r="D471" s="42"/>
      <c r="E471" s="15">
        <v>5</v>
      </c>
      <c r="F471" s="44"/>
      <c r="G471" s="35"/>
      <c r="H471" t="s">
        <v>329</v>
      </c>
      <c r="I471" t="s">
        <v>330</v>
      </c>
      <c r="J471" t="s">
        <v>38</v>
      </c>
      <c r="K471" t="s">
        <v>38</v>
      </c>
      <c r="L471" t="s">
        <v>331</v>
      </c>
      <c r="M471" t="s">
        <v>328</v>
      </c>
    </row>
    <row r="472" spans="2:14">
      <c r="B472" s="45" t="s">
        <v>192</v>
      </c>
      <c r="C472" s="41">
        <v>1</v>
      </c>
      <c r="D472" s="42"/>
      <c r="E472" s="15">
        <v>5</v>
      </c>
      <c r="F472" s="44"/>
      <c r="G472" s="35">
        <v>1</v>
      </c>
      <c r="H472" t="s">
        <v>329</v>
      </c>
      <c r="I472" t="s">
        <v>330</v>
      </c>
      <c r="J472" t="s">
        <v>38</v>
      </c>
      <c r="K472" t="s">
        <v>38</v>
      </c>
      <c r="L472" t="s">
        <v>331</v>
      </c>
      <c r="M472" t="s">
        <v>328</v>
      </c>
    </row>
    <row r="473" spans="2:14">
      <c r="B473" s="40" t="s">
        <v>194</v>
      </c>
      <c r="C473" s="41">
        <v>1</v>
      </c>
      <c r="D473" s="42"/>
      <c r="E473" s="15">
        <v>5</v>
      </c>
      <c r="F473" s="44"/>
      <c r="G473" s="35">
        <v>1</v>
      </c>
      <c r="H473" t="s">
        <v>329</v>
      </c>
      <c r="I473" t="s">
        <v>330</v>
      </c>
      <c r="J473" t="s">
        <v>38</v>
      </c>
      <c r="K473" t="s">
        <v>38</v>
      </c>
      <c r="L473" t="s">
        <v>331</v>
      </c>
      <c r="M473" t="s">
        <v>328</v>
      </c>
    </row>
    <row r="474" spans="2:14">
      <c r="B474" s="40" t="s">
        <v>190</v>
      </c>
      <c r="C474" s="41">
        <v>1</v>
      </c>
      <c r="D474" s="42"/>
      <c r="E474" s="15">
        <v>5</v>
      </c>
      <c r="F474" s="44"/>
      <c r="G474" s="35">
        <v>1</v>
      </c>
      <c r="H474" t="s">
        <v>329</v>
      </c>
      <c r="I474" t="s">
        <v>330</v>
      </c>
      <c r="J474" t="s">
        <v>38</v>
      </c>
      <c r="K474" t="s">
        <v>38</v>
      </c>
      <c r="L474" t="s">
        <v>38</v>
      </c>
      <c r="M474" t="s">
        <v>328</v>
      </c>
    </row>
    <row r="475" spans="2:14">
      <c r="B475" s="40" t="s">
        <v>202</v>
      </c>
      <c r="C475" s="41">
        <v>1</v>
      </c>
      <c r="D475" s="42"/>
      <c r="E475" s="15">
        <v>5</v>
      </c>
      <c r="F475" s="44"/>
      <c r="G475" s="35">
        <v>1</v>
      </c>
      <c r="H475" t="s">
        <v>329</v>
      </c>
      <c r="I475" t="s">
        <v>330</v>
      </c>
      <c r="J475" t="s">
        <v>38</v>
      </c>
      <c r="K475" t="s">
        <v>38</v>
      </c>
      <c r="L475" t="s">
        <v>38</v>
      </c>
      <c r="M475" t="s">
        <v>328</v>
      </c>
    </row>
    <row r="476" spans="2:14">
      <c r="B476" s="40" t="s">
        <v>197</v>
      </c>
      <c r="C476" s="41">
        <v>1</v>
      </c>
      <c r="D476" s="42"/>
      <c r="E476" s="15">
        <v>5</v>
      </c>
      <c r="F476" s="44"/>
      <c r="G476" s="35">
        <v>1</v>
      </c>
      <c r="H476" t="s">
        <v>329</v>
      </c>
      <c r="I476" t="s">
        <v>330</v>
      </c>
      <c r="J476" t="s">
        <v>38</v>
      </c>
      <c r="K476" t="s">
        <v>38</v>
      </c>
      <c r="L476" t="s">
        <v>38</v>
      </c>
      <c r="M476" t="s">
        <v>328</v>
      </c>
    </row>
    <row r="477" spans="2:14">
      <c r="B477" s="45" t="s">
        <v>192</v>
      </c>
      <c r="C477" s="41">
        <v>3</v>
      </c>
      <c r="D477" s="42"/>
      <c r="E477" s="15">
        <v>5</v>
      </c>
      <c r="F477" s="44"/>
      <c r="G477" s="35">
        <v>1</v>
      </c>
      <c r="H477" t="s">
        <v>329</v>
      </c>
      <c r="I477" t="s">
        <v>330</v>
      </c>
      <c r="J477" t="s">
        <v>38</v>
      </c>
      <c r="K477" t="s">
        <v>38</v>
      </c>
      <c r="L477" t="s">
        <v>38</v>
      </c>
      <c r="M477" t="s">
        <v>328</v>
      </c>
      <c r="N477" t="s">
        <v>300</v>
      </c>
    </row>
    <row r="478" spans="2:14">
      <c r="B478" s="40" t="s">
        <v>194</v>
      </c>
      <c r="C478" s="41">
        <v>3</v>
      </c>
      <c r="D478" s="42">
        <v>1</v>
      </c>
      <c r="E478" s="15">
        <v>5</v>
      </c>
      <c r="F478" s="15">
        <v>5</v>
      </c>
      <c r="G478" s="35">
        <v>1</v>
      </c>
      <c r="H478" t="s">
        <v>329</v>
      </c>
      <c r="I478" t="s">
        <v>330</v>
      </c>
      <c r="J478" t="s">
        <v>38</v>
      </c>
      <c r="K478" t="s">
        <v>38</v>
      </c>
      <c r="L478" t="s">
        <v>38</v>
      </c>
      <c r="M478" t="s">
        <v>328</v>
      </c>
      <c r="N478" t="s">
        <v>300</v>
      </c>
    </row>
    <row r="479" spans="2:14">
      <c r="B479" s="40" t="s">
        <v>204</v>
      </c>
      <c r="C479" s="41">
        <v>8</v>
      </c>
      <c r="D479" s="42">
        <v>1</v>
      </c>
      <c r="E479" s="15">
        <v>5</v>
      </c>
      <c r="F479" s="15">
        <v>5</v>
      </c>
      <c r="G479" s="35">
        <v>1</v>
      </c>
      <c r="H479" t="s">
        <v>329</v>
      </c>
      <c r="I479" t="s">
        <v>330</v>
      </c>
      <c r="J479" t="s">
        <v>332</v>
      </c>
      <c r="K479" t="s">
        <v>333</v>
      </c>
      <c r="L479" t="s">
        <v>38</v>
      </c>
      <c r="M479" t="s">
        <v>328</v>
      </c>
      <c r="N479" t="s">
        <v>300</v>
      </c>
    </row>
    <row r="480" spans="2:14">
      <c r="B480" s="45" t="s">
        <v>206</v>
      </c>
      <c r="C480" s="41">
        <v>4</v>
      </c>
      <c r="D480" s="42">
        <v>1</v>
      </c>
      <c r="E480" s="15">
        <v>5</v>
      </c>
      <c r="F480" s="15">
        <v>5</v>
      </c>
      <c r="G480" s="35">
        <v>1</v>
      </c>
      <c r="H480" t="s">
        <v>329</v>
      </c>
      <c r="I480" t="s">
        <v>330</v>
      </c>
      <c r="J480" t="s">
        <v>332</v>
      </c>
      <c r="K480" t="s">
        <v>333</v>
      </c>
      <c r="L480" t="s">
        <v>38</v>
      </c>
      <c r="M480" t="s">
        <v>328</v>
      </c>
      <c r="N480" t="s">
        <v>300</v>
      </c>
    </row>
    <row r="481" spans="2:14">
      <c r="B481" s="40" t="s">
        <v>205</v>
      </c>
      <c r="C481" s="41">
        <v>1</v>
      </c>
      <c r="D481" s="42">
        <v>1</v>
      </c>
      <c r="E481" s="15">
        <v>5</v>
      </c>
      <c r="F481" s="15">
        <v>5</v>
      </c>
      <c r="G481" s="35">
        <v>1</v>
      </c>
      <c r="H481" t="s">
        <v>329</v>
      </c>
      <c r="I481" t="s">
        <v>330</v>
      </c>
      <c r="J481" t="s">
        <v>332</v>
      </c>
      <c r="K481" t="s">
        <v>333</v>
      </c>
      <c r="L481" t="s">
        <v>38</v>
      </c>
      <c r="M481" t="s">
        <v>328</v>
      </c>
    </row>
    <row r="482" spans="2:14">
      <c r="B482" s="40" t="s">
        <v>207</v>
      </c>
      <c r="C482" s="41">
        <v>4</v>
      </c>
      <c r="D482" s="42">
        <v>1</v>
      </c>
      <c r="E482" s="15">
        <v>5</v>
      </c>
      <c r="F482" s="15">
        <v>5</v>
      </c>
      <c r="G482" s="35">
        <v>1</v>
      </c>
      <c r="H482" t="s">
        <v>329</v>
      </c>
      <c r="I482" t="s">
        <v>330</v>
      </c>
      <c r="J482" t="s">
        <v>332</v>
      </c>
      <c r="K482" t="s">
        <v>333</v>
      </c>
      <c r="L482" t="s">
        <v>38</v>
      </c>
      <c r="M482" t="s">
        <v>328</v>
      </c>
    </row>
    <row r="483" spans="2:14">
      <c r="B483" s="40" t="s">
        <v>139</v>
      </c>
      <c r="C483" s="41">
        <v>1</v>
      </c>
      <c r="D483" s="42">
        <v>1</v>
      </c>
      <c r="E483" s="15">
        <v>5</v>
      </c>
      <c r="F483" s="15">
        <v>5</v>
      </c>
      <c r="G483" s="35">
        <v>1</v>
      </c>
      <c r="H483" t="s">
        <v>329</v>
      </c>
      <c r="I483" t="s">
        <v>330</v>
      </c>
      <c r="J483" t="s">
        <v>38</v>
      </c>
      <c r="K483" t="s">
        <v>38</v>
      </c>
      <c r="L483" t="s">
        <v>38</v>
      </c>
      <c r="M483" t="s">
        <v>328</v>
      </c>
    </row>
    <row r="484" spans="2:14">
      <c r="B484" s="45" t="s">
        <v>192</v>
      </c>
      <c r="C484" s="41">
        <v>1</v>
      </c>
      <c r="D484" s="42">
        <v>1</v>
      </c>
      <c r="E484" s="15">
        <v>5</v>
      </c>
      <c r="F484" s="15">
        <v>5</v>
      </c>
      <c r="G484" s="35">
        <v>1</v>
      </c>
      <c r="H484" t="s">
        <v>329</v>
      </c>
      <c r="I484" t="s">
        <v>330</v>
      </c>
      <c r="J484" t="s">
        <v>38</v>
      </c>
      <c r="K484" t="s">
        <v>38</v>
      </c>
      <c r="L484" t="s">
        <v>38</v>
      </c>
      <c r="M484" t="s">
        <v>328</v>
      </c>
    </row>
    <row r="485" spans="2:14">
      <c r="B485" s="40" t="s">
        <v>194</v>
      </c>
      <c r="C485" s="41">
        <v>1</v>
      </c>
      <c r="D485" s="42">
        <v>1</v>
      </c>
      <c r="E485" s="15">
        <v>5</v>
      </c>
      <c r="F485" s="15">
        <v>5</v>
      </c>
      <c r="G485" s="35">
        <v>1</v>
      </c>
      <c r="H485" t="s">
        <v>329</v>
      </c>
      <c r="I485" t="s">
        <v>330</v>
      </c>
      <c r="J485" t="s">
        <v>38</v>
      </c>
      <c r="K485" t="s">
        <v>38</v>
      </c>
      <c r="L485" t="s">
        <v>38</v>
      </c>
      <c r="M485" t="s">
        <v>328</v>
      </c>
    </row>
    <row r="486" spans="2:14">
      <c r="B486" s="40" t="s">
        <v>133</v>
      </c>
      <c r="C486" s="22">
        <v>1</v>
      </c>
      <c r="D486" s="42">
        <v>1</v>
      </c>
      <c r="E486" s="15">
        <v>5</v>
      </c>
      <c r="F486" s="15">
        <v>5</v>
      </c>
      <c r="G486" s="35">
        <v>1</v>
      </c>
      <c r="H486" t="s">
        <v>329</v>
      </c>
      <c r="I486" t="s">
        <v>330</v>
      </c>
      <c r="J486" t="s">
        <v>38</v>
      </c>
      <c r="K486" t="s">
        <v>38</v>
      </c>
      <c r="L486" t="s">
        <v>38</v>
      </c>
      <c r="M486" t="s">
        <v>328</v>
      </c>
    </row>
    <row r="487" spans="2:14">
      <c r="B487" s="40" t="s">
        <v>190</v>
      </c>
      <c r="C487" s="41">
        <v>1</v>
      </c>
      <c r="D487" s="42">
        <v>1</v>
      </c>
      <c r="E487" s="15">
        <v>5</v>
      </c>
      <c r="F487" s="15">
        <v>5</v>
      </c>
      <c r="G487" s="35">
        <v>1</v>
      </c>
      <c r="H487" t="s">
        <v>329</v>
      </c>
      <c r="I487" t="s">
        <v>330</v>
      </c>
      <c r="J487" t="s">
        <v>38</v>
      </c>
      <c r="K487" t="s">
        <v>38</v>
      </c>
      <c r="L487" t="s">
        <v>38</v>
      </c>
      <c r="M487" t="s">
        <v>328</v>
      </c>
    </row>
    <row r="488" spans="2:14">
      <c r="B488" s="40" t="s">
        <v>202</v>
      </c>
      <c r="C488" s="41">
        <v>1</v>
      </c>
      <c r="D488" s="42">
        <v>1</v>
      </c>
      <c r="E488" s="15">
        <v>5</v>
      </c>
      <c r="F488" s="15">
        <v>5</v>
      </c>
      <c r="G488" s="35">
        <v>1</v>
      </c>
      <c r="H488" t="s">
        <v>329</v>
      </c>
      <c r="I488" t="s">
        <v>330</v>
      </c>
      <c r="J488" t="s">
        <v>38</v>
      </c>
      <c r="K488" t="s">
        <v>38</v>
      </c>
      <c r="L488" t="s">
        <v>38</v>
      </c>
      <c r="M488" t="s">
        <v>328</v>
      </c>
    </row>
    <row r="489" spans="2:14">
      <c r="B489" s="40" t="s">
        <v>197</v>
      </c>
      <c r="C489" s="41">
        <v>1</v>
      </c>
      <c r="D489" s="42"/>
      <c r="E489" s="15">
        <v>5</v>
      </c>
      <c r="F489" s="15">
        <v>5</v>
      </c>
      <c r="G489" s="35"/>
      <c r="H489" t="s">
        <v>329</v>
      </c>
      <c r="I489" t="s">
        <v>330</v>
      </c>
      <c r="J489" t="s">
        <v>38</v>
      </c>
      <c r="K489" t="s">
        <v>38</v>
      </c>
      <c r="L489" t="s">
        <v>38</v>
      </c>
      <c r="M489" t="s">
        <v>328</v>
      </c>
      <c r="N489" t="s">
        <v>300</v>
      </c>
    </row>
    <row r="490" spans="2:14">
      <c r="B490" s="45" t="s">
        <v>192</v>
      </c>
      <c r="C490" s="41">
        <v>3</v>
      </c>
      <c r="D490" s="42"/>
      <c r="E490" s="15">
        <v>5</v>
      </c>
      <c r="F490" s="15">
        <v>5</v>
      </c>
      <c r="G490" s="35"/>
      <c r="H490" t="s">
        <v>329</v>
      </c>
      <c r="I490" t="s">
        <v>330</v>
      </c>
      <c r="J490" t="s">
        <v>38</v>
      </c>
      <c r="K490" t="s">
        <v>38</v>
      </c>
      <c r="L490" t="s">
        <v>38</v>
      </c>
      <c r="M490" t="s">
        <v>328</v>
      </c>
      <c r="N490" t="s">
        <v>300</v>
      </c>
    </row>
    <row r="491" spans="2:14">
      <c r="B491" s="40" t="s">
        <v>194</v>
      </c>
      <c r="C491" s="41">
        <v>3</v>
      </c>
      <c r="D491" s="42"/>
      <c r="E491" s="15">
        <v>5</v>
      </c>
      <c r="F491" s="15">
        <v>5</v>
      </c>
      <c r="G491" s="35"/>
      <c r="H491" t="s">
        <v>329</v>
      </c>
      <c r="I491" t="s">
        <v>330</v>
      </c>
      <c r="J491" t="s">
        <v>38</v>
      </c>
      <c r="K491" t="s">
        <v>38</v>
      </c>
      <c r="L491" t="s">
        <v>38</v>
      </c>
      <c r="M491" t="s">
        <v>328</v>
      </c>
      <c r="N491" t="s">
        <v>300</v>
      </c>
    </row>
    <row r="492" spans="2:14">
      <c r="B492" s="40" t="s">
        <v>204</v>
      </c>
      <c r="C492" s="41">
        <v>8</v>
      </c>
      <c r="D492" s="42"/>
      <c r="E492" s="15">
        <v>5</v>
      </c>
      <c r="F492" s="15">
        <v>5</v>
      </c>
      <c r="G492" s="35"/>
      <c r="H492" t="s">
        <v>329</v>
      </c>
      <c r="I492" t="s">
        <v>330</v>
      </c>
      <c r="J492" t="s">
        <v>332</v>
      </c>
      <c r="K492" t="s">
        <v>333</v>
      </c>
      <c r="L492" t="s">
        <v>38</v>
      </c>
      <c r="M492" t="s">
        <v>328</v>
      </c>
      <c r="N492" t="s">
        <v>300</v>
      </c>
    </row>
    <row r="493" spans="2:14">
      <c r="B493" s="45" t="s">
        <v>206</v>
      </c>
      <c r="C493" s="41">
        <v>4</v>
      </c>
      <c r="D493" s="42"/>
      <c r="E493" s="15">
        <v>5</v>
      </c>
      <c r="F493" s="44"/>
      <c r="G493" s="35"/>
      <c r="H493" t="s">
        <v>329</v>
      </c>
      <c r="I493" t="s">
        <v>330</v>
      </c>
      <c r="J493" t="s">
        <v>332</v>
      </c>
      <c r="K493" t="s">
        <v>333</v>
      </c>
      <c r="L493" t="s">
        <v>38</v>
      </c>
      <c r="M493" t="s">
        <v>328</v>
      </c>
    </row>
    <row r="494" spans="2:14">
      <c r="B494" s="40" t="s">
        <v>205</v>
      </c>
      <c r="C494" s="41">
        <v>1</v>
      </c>
      <c r="D494" s="42"/>
      <c r="E494" s="15">
        <v>5</v>
      </c>
      <c r="F494" s="44"/>
      <c r="G494" s="35"/>
      <c r="H494" t="s">
        <v>329</v>
      </c>
      <c r="I494" t="s">
        <v>330</v>
      </c>
      <c r="J494" t="s">
        <v>332</v>
      </c>
      <c r="K494" t="s">
        <v>333</v>
      </c>
      <c r="L494" t="s">
        <v>38</v>
      </c>
      <c r="M494" t="s">
        <v>328</v>
      </c>
    </row>
    <row r="495" spans="2:14">
      <c r="B495" s="40" t="s">
        <v>207</v>
      </c>
      <c r="C495" s="41">
        <v>4</v>
      </c>
      <c r="D495" s="42"/>
      <c r="E495" s="15">
        <v>5</v>
      </c>
      <c r="F495" s="44"/>
      <c r="G495" s="35"/>
      <c r="H495" t="s">
        <v>329</v>
      </c>
      <c r="I495" t="s">
        <v>330</v>
      </c>
      <c r="J495" t="s">
        <v>332</v>
      </c>
      <c r="K495" t="s">
        <v>333</v>
      </c>
      <c r="L495" t="s">
        <v>38</v>
      </c>
      <c r="M495" t="s">
        <v>328</v>
      </c>
    </row>
    <row r="496" spans="2:14">
      <c r="B496" s="40" t="s">
        <v>139</v>
      </c>
      <c r="C496" s="41">
        <v>1</v>
      </c>
      <c r="D496" s="42"/>
      <c r="E496" s="15">
        <v>5</v>
      </c>
      <c r="F496" s="44"/>
      <c r="G496" s="35"/>
      <c r="H496" t="s">
        <v>329</v>
      </c>
      <c r="I496" t="s">
        <v>330</v>
      </c>
      <c r="J496" t="s">
        <v>38</v>
      </c>
      <c r="K496" t="s">
        <v>38</v>
      </c>
      <c r="L496" t="s">
        <v>38</v>
      </c>
      <c r="M496" t="s">
        <v>328</v>
      </c>
    </row>
    <row r="497" spans="2:13">
      <c r="B497" s="45" t="s">
        <v>192</v>
      </c>
      <c r="C497" s="41">
        <v>1</v>
      </c>
      <c r="D497" s="42"/>
      <c r="E497" s="15">
        <v>5</v>
      </c>
      <c r="F497" s="44"/>
      <c r="G497" s="35"/>
      <c r="H497" t="s">
        <v>329</v>
      </c>
      <c r="I497" t="s">
        <v>330</v>
      </c>
      <c r="J497" t="s">
        <v>38</v>
      </c>
      <c r="K497" t="s">
        <v>38</v>
      </c>
      <c r="L497" t="s">
        <v>38</v>
      </c>
      <c r="M497" t="s">
        <v>328</v>
      </c>
    </row>
    <row r="498" spans="2:13">
      <c r="B498" s="40" t="s">
        <v>194</v>
      </c>
      <c r="C498" s="41">
        <v>1</v>
      </c>
      <c r="D498" s="42"/>
      <c r="E498" s="15">
        <v>5</v>
      </c>
      <c r="F498" s="44"/>
      <c r="G498" s="35"/>
      <c r="H498" t="s">
        <v>329</v>
      </c>
      <c r="I498" t="s">
        <v>330</v>
      </c>
      <c r="J498" t="s">
        <v>38</v>
      </c>
      <c r="K498" t="s">
        <v>38</v>
      </c>
      <c r="L498" t="s">
        <v>38</v>
      </c>
      <c r="M498" t="s">
        <v>328</v>
      </c>
    </row>
    <row r="499" spans="2:13">
      <c r="B499" s="40" t="s">
        <v>133</v>
      </c>
      <c r="C499" s="22">
        <v>1</v>
      </c>
      <c r="D499" s="42"/>
      <c r="E499" s="15">
        <v>5</v>
      </c>
      <c r="F499" s="44"/>
      <c r="G499" s="35"/>
      <c r="H499" t="s">
        <v>329</v>
      </c>
      <c r="I499" t="s">
        <v>330</v>
      </c>
      <c r="J499" t="s">
        <v>38</v>
      </c>
      <c r="K499" t="s">
        <v>38</v>
      </c>
      <c r="L499" t="s">
        <v>38</v>
      </c>
      <c r="M499" t="s">
        <v>328</v>
      </c>
    </row>
    <row r="500" spans="2:13">
      <c r="B500" s="40" t="s">
        <v>129</v>
      </c>
      <c r="C500" s="18">
        <v>4</v>
      </c>
      <c r="D500" s="42"/>
      <c r="E500" s="15">
        <v>5</v>
      </c>
      <c r="F500" s="44"/>
      <c r="G500" s="35"/>
      <c r="H500" t="s">
        <v>327</v>
      </c>
      <c r="I500" t="s">
        <v>38</v>
      </c>
      <c r="J500" t="s">
        <v>38</v>
      </c>
      <c r="K500" t="s">
        <v>38</v>
      </c>
      <c r="L500" t="s">
        <v>38</v>
      </c>
      <c r="M500" t="s">
        <v>328</v>
      </c>
    </row>
    <row r="501" spans="2:13">
      <c r="B501" s="40" t="s">
        <v>129</v>
      </c>
      <c r="C501" s="18">
        <v>32</v>
      </c>
      <c r="D501" s="42"/>
      <c r="E501" s="15">
        <v>5</v>
      </c>
      <c r="F501" s="44"/>
      <c r="G501" s="35"/>
      <c r="H501" t="s">
        <v>329</v>
      </c>
      <c r="I501" t="s">
        <v>330</v>
      </c>
      <c r="J501" t="s">
        <v>38</v>
      </c>
      <c r="K501" t="s">
        <v>38</v>
      </c>
      <c r="L501" t="s">
        <v>38</v>
      </c>
      <c r="M501" t="s">
        <v>328</v>
      </c>
    </row>
    <row r="502" spans="2:13">
      <c r="B502" s="40" t="s">
        <v>130</v>
      </c>
      <c r="C502" s="18">
        <v>4</v>
      </c>
      <c r="D502" s="42"/>
      <c r="E502" s="15">
        <v>5</v>
      </c>
      <c r="F502" s="44"/>
      <c r="G502" s="35"/>
      <c r="H502" t="s">
        <v>327</v>
      </c>
      <c r="I502" t="s">
        <v>38</v>
      </c>
      <c r="J502" t="s">
        <v>38</v>
      </c>
      <c r="K502" t="s">
        <v>38</v>
      </c>
      <c r="L502" t="s">
        <v>38</v>
      </c>
      <c r="M502" t="s">
        <v>328</v>
      </c>
    </row>
    <row r="503" spans="2:13">
      <c r="B503" s="40" t="s">
        <v>130</v>
      </c>
      <c r="C503" s="18">
        <v>32</v>
      </c>
      <c r="D503" s="42"/>
      <c r="E503" s="15">
        <v>5</v>
      </c>
      <c r="F503" s="44"/>
      <c r="G503" s="35"/>
      <c r="H503" t="s">
        <v>329</v>
      </c>
      <c r="I503" t="s">
        <v>330</v>
      </c>
      <c r="J503" t="s">
        <v>38</v>
      </c>
      <c r="K503" t="s">
        <v>38</v>
      </c>
      <c r="L503" t="s">
        <v>38</v>
      </c>
      <c r="M503" t="s">
        <v>328</v>
      </c>
    </row>
    <row r="504" spans="2:13">
      <c r="B504" s="40" t="s">
        <v>142</v>
      </c>
      <c r="C504" s="41">
        <v>1</v>
      </c>
      <c r="D504" s="42"/>
      <c r="E504" s="15">
        <v>5</v>
      </c>
      <c r="F504" s="44"/>
      <c r="G504" s="35"/>
      <c r="H504" t="s">
        <v>329</v>
      </c>
      <c r="I504" t="s">
        <v>330</v>
      </c>
      <c r="J504" t="s">
        <v>38</v>
      </c>
      <c r="K504" t="s">
        <v>38</v>
      </c>
      <c r="L504" t="s">
        <v>38</v>
      </c>
      <c r="M504" t="s">
        <v>328</v>
      </c>
    </row>
    <row r="505" spans="2:13">
      <c r="B505" s="40" t="s">
        <v>143</v>
      </c>
      <c r="C505" s="41">
        <v>72</v>
      </c>
      <c r="D505" s="42"/>
      <c r="E505" s="15">
        <v>5</v>
      </c>
      <c r="F505" s="44"/>
      <c r="G505" s="35"/>
      <c r="H505" t="s">
        <v>329</v>
      </c>
      <c r="I505" t="s">
        <v>330</v>
      </c>
      <c r="J505" t="s">
        <v>332</v>
      </c>
      <c r="K505" t="s">
        <v>38</v>
      </c>
      <c r="L505" t="s">
        <v>38</v>
      </c>
      <c r="M505" t="s">
        <v>328</v>
      </c>
    </row>
    <row r="506" spans="2:13">
      <c r="B506" s="40" t="s">
        <v>155</v>
      </c>
      <c r="C506" s="41">
        <v>1</v>
      </c>
      <c r="D506" s="42"/>
      <c r="E506" s="15">
        <v>1</v>
      </c>
      <c r="F506" s="44"/>
      <c r="G506" s="35"/>
      <c r="H506" t="s">
        <v>327</v>
      </c>
      <c r="I506" t="s">
        <v>38</v>
      </c>
      <c r="J506" t="s">
        <v>38</v>
      </c>
      <c r="K506" t="s">
        <v>38</v>
      </c>
      <c r="L506" t="s">
        <v>38</v>
      </c>
    </row>
    <row r="507" spans="2:13">
      <c r="B507" s="40" t="s">
        <v>155</v>
      </c>
      <c r="C507" s="41">
        <v>1</v>
      </c>
      <c r="D507" s="42"/>
      <c r="E507" s="15">
        <v>2</v>
      </c>
      <c r="F507" s="44"/>
      <c r="G507" s="35"/>
      <c r="H507" t="s">
        <v>327</v>
      </c>
      <c r="I507" t="s">
        <v>38</v>
      </c>
      <c r="J507" t="s">
        <v>38</v>
      </c>
      <c r="K507" t="s">
        <v>38</v>
      </c>
      <c r="L507" t="s">
        <v>38</v>
      </c>
      <c r="M507" t="s">
        <v>328</v>
      </c>
    </row>
    <row r="508" spans="2:13">
      <c r="B508" s="40" t="s">
        <v>155</v>
      </c>
      <c r="C508" s="41">
        <v>1</v>
      </c>
      <c r="D508" s="42"/>
      <c r="E508" s="15">
        <v>4</v>
      </c>
      <c r="F508" s="44"/>
      <c r="G508" s="35"/>
      <c r="H508" t="s">
        <v>329</v>
      </c>
      <c r="I508" t="s">
        <v>330</v>
      </c>
      <c r="J508" t="s">
        <v>322</v>
      </c>
      <c r="K508" t="s">
        <v>38</v>
      </c>
      <c r="L508" t="s">
        <v>38</v>
      </c>
      <c r="M508" t="s">
        <v>328</v>
      </c>
    </row>
    <row r="509" spans="2:13">
      <c r="B509" s="40" t="s">
        <v>155</v>
      </c>
      <c r="C509" s="41">
        <v>2</v>
      </c>
      <c r="D509" s="42"/>
      <c r="E509" s="15">
        <v>5</v>
      </c>
      <c r="F509" s="44"/>
      <c r="G509" s="35"/>
      <c r="H509" t="s">
        <v>329</v>
      </c>
      <c r="I509" t="s">
        <v>330</v>
      </c>
      <c r="J509" t="s">
        <v>322</v>
      </c>
      <c r="K509" t="s">
        <v>38</v>
      </c>
      <c r="L509" t="s">
        <v>38</v>
      </c>
      <c r="M509" t="s">
        <v>328</v>
      </c>
    </row>
    <row r="510" spans="2:13">
      <c r="B510" s="40" t="s">
        <v>38</v>
      </c>
      <c r="C510" s="41">
        <v>1</v>
      </c>
      <c r="D510" s="42"/>
      <c r="E510" s="44"/>
      <c r="F510" s="44"/>
      <c r="G510" s="35"/>
      <c r="H510" t="s">
        <v>38</v>
      </c>
      <c r="I510" t="s">
        <v>38</v>
      </c>
      <c r="J510" t="s">
        <v>38</v>
      </c>
      <c r="K510" t="s">
        <v>38</v>
      </c>
      <c r="L510" t="s">
        <v>38</v>
      </c>
    </row>
    <row r="511" spans="2:13">
      <c r="B511" s="40" t="s">
        <v>38</v>
      </c>
      <c r="C511" s="41">
        <v>1</v>
      </c>
      <c r="D511" s="42"/>
      <c r="E511" s="44"/>
      <c r="F511" s="44"/>
      <c r="G511" s="35"/>
      <c r="H511" t="s">
        <v>38</v>
      </c>
      <c r="I511" t="s">
        <v>38</v>
      </c>
      <c r="J511" t="s">
        <v>38</v>
      </c>
      <c r="K511" t="s">
        <v>38</v>
      </c>
      <c r="L511" t="s">
        <v>38</v>
      </c>
    </row>
    <row r="512" spans="2:13">
      <c r="B512" s="40" t="s">
        <v>38</v>
      </c>
      <c r="C512" s="41">
        <v>1</v>
      </c>
      <c r="D512" s="42"/>
      <c r="E512" s="44"/>
      <c r="F512" s="44"/>
      <c r="G512" s="35"/>
      <c r="H512" t="s">
        <v>38</v>
      </c>
      <c r="I512" t="s">
        <v>38</v>
      </c>
      <c r="J512" t="s">
        <v>38</v>
      </c>
      <c r="K512" t="s">
        <v>38</v>
      </c>
      <c r="L512" t="s">
        <v>38</v>
      </c>
    </row>
    <row r="513" spans="2:12">
      <c r="B513" s="40" t="s">
        <v>38</v>
      </c>
      <c r="C513" s="41">
        <v>1</v>
      </c>
      <c r="D513" s="42"/>
      <c r="E513" s="44"/>
      <c r="F513" s="44"/>
      <c r="G513" s="35"/>
      <c r="H513" t="s">
        <v>38</v>
      </c>
      <c r="I513" t="s">
        <v>38</v>
      </c>
      <c r="J513" t="s">
        <v>38</v>
      </c>
      <c r="K513" t="s">
        <v>38</v>
      </c>
      <c r="L513" t="s">
        <v>38</v>
      </c>
    </row>
    <row r="514" spans="2:12">
      <c r="B514" s="40" t="s">
        <v>38</v>
      </c>
      <c r="C514" s="41">
        <v>1</v>
      </c>
      <c r="D514" s="42"/>
      <c r="E514" s="44"/>
      <c r="F514" s="44"/>
      <c r="G514" s="35"/>
      <c r="H514" t="s">
        <v>38</v>
      </c>
      <c r="I514" t="s">
        <v>38</v>
      </c>
      <c r="J514" t="s">
        <v>38</v>
      </c>
      <c r="K514" t="s">
        <v>38</v>
      </c>
      <c r="L514" t="s">
        <v>38</v>
      </c>
    </row>
    <row r="515" spans="2:12">
      <c r="B515" s="40" t="s">
        <v>38</v>
      </c>
      <c r="C515" s="41">
        <v>1</v>
      </c>
      <c r="D515" s="42"/>
      <c r="E515" s="44"/>
      <c r="F515" s="44"/>
      <c r="G515" s="35"/>
      <c r="H515" t="s">
        <v>38</v>
      </c>
      <c r="I515" t="s">
        <v>38</v>
      </c>
      <c r="J515" t="s">
        <v>38</v>
      </c>
      <c r="K515" t="s">
        <v>38</v>
      </c>
      <c r="L515" t="s">
        <v>38</v>
      </c>
    </row>
    <row r="516" spans="2:12">
      <c r="B516" s="40" t="s">
        <v>38</v>
      </c>
      <c r="C516" s="41">
        <v>1</v>
      </c>
      <c r="D516" s="42"/>
      <c r="E516" s="44"/>
      <c r="F516" s="44"/>
      <c r="G516" s="35"/>
      <c r="H516" t="s">
        <v>38</v>
      </c>
      <c r="I516" t="s">
        <v>38</v>
      </c>
      <c r="J516" t="s">
        <v>38</v>
      </c>
      <c r="K516" t="s">
        <v>38</v>
      </c>
      <c r="L516" t="s">
        <v>38</v>
      </c>
    </row>
    <row r="517" spans="2:12">
      <c r="B517" s="40" t="s">
        <v>38</v>
      </c>
      <c r="C517" s="41">
        <v>1</v>
      </c>
      <c r="D517" s="42"/>
      <c r="E517" s="44"/>
      <c r="F517" s="44"/>
      <c r="G517" s="35"/>
      <c r="H517" t="s">
        <v>38</v>
      </c>
      <c r="I517" t="s">
        <v>38</v>
      </c>
      <c r="J517" t="s">
        <v>38</v>
      </c>
      <c r="K517" t="s">
        <v>38</v>
      </c>
      <c r="L517" t="s">
        <v>38</v>
      </c>
    </row>
    <row r="518" spans="2:12">
      <c r="B518" s="40" t="s">
        <v>38</v>
      </c>
      <c r="C518" s="41">
        <v>1</v>
      </c>
      <c r="D518" s="42"/>
      <c r="E518" s="44"/>
      <c r="F518" s="44"/>
      <c r="G518" s="35"/>
      <c r="H518" t="s">
        <v>38</v>
      </c>
      <c r="I518" t="s">
        <v>38</v>
      </c>
      <c r="J518" t="s">
        <v>38</v>
      </c>
      <c r="K518" t="s">
        <v>38</v>
      </c>
      <c r="L518" t="s">
        <v>38</v>
      </c>
    </row>
    <row r="519" spans="2:12">
      <c r="B519" s="40" t="s">
        <v>38</v>
      </c>
      <c r="C519" s="41">
        <v>1</v>
      </c>
      <c r="D519" s="42"/>
      <c r="E519" s="44"/>
      <c r="F519" s="44"/>
      <c r="G519" s="35"/>
      <c r="H519" t="s">
        <v>38</v>
      </c>
      <c r="I519" t="s">
        <v>38</v>
      </c>
      <c r="J519" t="s">
        <v>38</v>
      </c>
      <c r="K519" t="s">
        <v>38</v>
      </c>
      <c r="L519" t="s">
        <v>38</v>
      </c>
    </row>
    <row r="520" spans="2:12">
      <c r="B520" s="45" t="s">
        <v>38</v>
      </c>
      <c r="C520" s="41">
        <v>1</v>
      </c>
      <c r="D520" s="42"/>
      <c r="E520" s="44"/>
      <c r="F520" s="44"/>
      <c r="G520" s="35"/>
      <c r="H520" t="s">
        <v>38</v>
      </c>
      <c r="I520" t="s">
        <v>38</v>
      </c>
      <c r="J520" t="s">
        <v>38</v>
      </c>
      <c r="K520" t="s">
        <v>38</v>
      </c>
      <c r="L520" t="s">
        <v>38</v>
      </c>
    </row>
    <row r="521" spans="2:12">
      <c r="B521" s="45" t="s">
        <v>38</v>
      </c>
      <c r="C521" s="41">
        <v>1</v>
      </c>
      <c r="D521" s="42"/>
      <c r="E521" s="44"/>
      <c r="F521" s="44"/>
      <c r="G521" s="35"/>
      <c r="H521" t="s">
        <v>38</v>
      </c>
      <c r="I521" t="s">
        <v>38</v>
      </c>
      <c r="J521" t="s">
        <v>38</v>
      </c>
      <c r="K521" t="s">
        <v>38</v>
      </c>
      <c r="L521" t="s">
        <v>38</v>
      </c>
    </row>
    <row r="522" spans="2:12">
      <c r="B522" s="45" t="s">
        <v>38</v>
      </c>
      <c r="C522" s="41">
        <v>1</v>
      </c>
      <c r="D522" s="42"/>
      <c r="E522" s="44"/>
      <c r="F522" s="44"/>
      <c r="G522" s="35"/>
      <c r="H522" t="s">
        <v>38</v>
      </c>
      <c r="I522" t="s">
        <v>38</v>
      </c>
      <c r="J522" t="s">
        <v>38</v>
      </c>
      <c r="K522" t="s">
        <v>38</v>
      </c>
      <c r="L522" t="s">
        <v>38</v>
      </c>
    </row>
    <row r="523" spans="2:12">
      <c r="B523" s="45" t="s">
        <v>38</v>
      </c>
      <c r="C523" s="41">
        <v>1</v>
      </c>
      <c r="D523" s="42"/>
      <c r="E523" s="44"/>
      <c r="F523" s="44"/>
      <c r="G523" s="35"/>
      <c r="H523" t="s">
        <v>38</v>
      </c>
      <c r="I523" t="s">
        <v>38</v>
      </c>
      <c r="J523" t="s">
        <v>38</v>
      </c>
      <c r="K523" t="s">
        <v>38</v>
      </c>
      <c r="L523" t="s">
        <v>38</v>
      </c>
    </row>
    <row r="524" spans="2:12">
      <c r="B524" s="45" t="s">
        <v>38</v>
      </c>
      <c r="C524" s="41">
        <v>1</v>
      </c>
      <c r="D524" s="42"/>
      <c r="E524" s="44"/>
      <c r="F524" s="44"/>
      <c r="G524" s="35"/>
      <c r="H524" t="s">
        <v>38</v>
      </c>
      <c r="I524" t="s">
        <v>38</v>
      </c>
      <c r="J524" t="s">
        <v>38</v>
      </c>
      <c r="K524" t="s">
        <v>38</v>
      </c>
      <c r="L524" t="s">
        <v>38</v>
      </c>
    </row>
    <row r="525" spans="2:12">
      <c r="B525" s="45" t="s">
        <v>38</v>
      </c>
      <c r="C525" s="41">
        <v>1</v>
      </c>
      <c r="D525" s="42"/>
      <c r="E525" s="44"/>
      <c r="F525" s="44"/>
      <c r="G525" s="35"/>
      <c r="H525" t="s">
        <v>38</v>
      </c>
      <c r="I525" t="s">
        <v>38</v>
      </c>
      <c r="J525" t="s">
        <v>38</v>
      </c>
      <c r="K525" t="s">
        <v>38</v>
      </c>
      <c r="L525" t="s">
        <v>38</v>
      </c>
    </row>
    <row r="526" spans="2:12">
      <c r="B526" s="45" t="s">
        <v>38</v>
      </c>
      <c r="C526" s="41">
        <v>1</v>
      </c>
      <c r="D526" s="42"/>
      <c r="E526" s="44"/>
      <c r="F526" s="44"/>
      <c r="G526" s="35"/>
      <c r="H526" t="s">
        <v>38</v>
      </c>
      <c r="I526" t="s">
        <v>38</v>
      </c>
      <c r="J526" t="s">
        <v>38</v>
      </c>
      <c r="K526" t="s">
        <v>38</v>
      </c>
      <c r="L526" t="s">
        <v>38</v>
      </c>
    </row>
    <row r="527" spans="2:12">
      <c r="B527" s="45" t="s">
        <v>38</v>
      </c>
      <c r="C527" s="41">
        <v>1</v>
      </c>
      <c r="D527" s="42"/>
      <c r="E527" s="44"/>
      <c r="F527" s="44"/>
      <c r="G527" s="35"/>
      <c r="H527" t="s">
        <v>38</v>
      </c>
      <c r="I527" t="s">
        <v>38</v>
      </c>
      <c r="J527" t="s">
        <v>38</v>
      </c>
      <c r="K527" t="s">
        <v>38</v>
      </c>
      <c r="L527" t="s">
        <v>38</v>
      </c>
    </row>
    <row r="528" spans="2:12">
      <c r="B528" s="45" t="s">
        <v>38</v>
      </c>
      <c r="C528" s="41">
        <v>1</v>
      </c>
      <c r="D528" s="42"/>
      <c r="E528" s="44"/>
      <c r="F528" s="44"/>
      <c r="G528" s="35"/>
      <c r="H528" t="s">
        <v>38</v>
      </c>
      <c r="I528" t="s">
        <v>38</v>
      </c>
      <c r="J528" t="s">
        <v>38</v>
      </c>
      <c r="K528" t="s">
        <v>38</v>
      </c>
      <c r="L528" t="s">
        <v>38</v>
      </c>
    </row>
    <row r="529" spans="2:12">
      <c r="B529" s="45" t="s">
        <v>38</v>
      </c>
      <c r="C529" s="41">
        <v>1</v>
      </c>
      <c r="D529" s="42"/>
      <c r="E529" s="44"/>
      <c r="F529" s="44"/>
      <c r="G529" s="35"/>
      <c r="H529" t="s">
        <v>38</v>
      </c>
      <c r="I529" t="s">
        <v>38</v>
      </c>
      <c r="J529" t="s">
        <v>38</v>
      </c>
      <c r="K529" t="s">
        <v>38</v>
      </c>
      <c r="L529" t="s">
        <v>38</v>
      </c>
    </row>
    <row r="530" spans="2:12">
      <c r="B530" s="45" t="s">
        <v>38</v>
      </c>
      <c r="C530" s="41">
        <v>1</v>
      </c>
      <c r="D530" s="42"/>
      <c r="E530" s="44"/>
      <c r="F530" s="44"/>
      <c r="G530" s="35"/>
      <c r="H530" t="s">
        <v>38</v>
      </c>
      <c r="I530" t="s">
        <v>38</v>
      </c>
      <c r="J530" t="s">
        <v>38</v>
      </c>
      <c r="K530" t="s">
        <v>38</v>
      </c>
      <c r="L530" t="s">
        <v>38</v>
      </c>
    </row>
    <row r="531" spans="2:12">
      <c r="B531" s="45" t="s">
        <v>38</v>
      </c>
      <c r="C531" s="41">
        <v>1</v>
      </c>
      <c r="D531" s="42"/>
      <c r="E531" s="44"/>
      <c r="F531" s="44"/>
      <c r="G531" s="35"/>
      <c r="H531" t="s">
        <v>38</v>
      </c>
      <c r="I531" t="s">
        <v>38</v>
      </c>
      <c r="J531" t="s">
        <v>38</v>
      </c>
      <c r="K531" t="s">
        <v>38</v>
      </c>
      <c r="L531" t="s">
        <v>38</v>
      </c>
    </row>
    <row r="532" spans="2:12">
      <c r="B532" s="40" t="s">
        <v>38</v>
      </c>
      <c r="C532" s="41">
        <v>1</v>
      </c>
      <c r="D532" s="42"/>
      <c r="E532" s="44"/>
      <c r="F532" s="44"/>
      <c r="G532" s="35"/>
      <c r="H532" t="s">
        <v>38</v>
      </c>
      <c r="I532" t="s">
        <v>38</v>
      </c>
      <c r="J532" t="s">
        <v>38</v>
      </c>
      <c r="K532" t="s">
        <v>38</v>
      </c>
      <c r="L532" t="s">
        <v>38</v>
      </c>
    </row>
    <row r="533" spans="2:12">
      <c r="B533" s="40" t="s">
        <v>38</v>
      </c>
      <c r="C533" s="41">
        <v>1</v>
      </c>
      <c r="D533" s="42"/>
      <c r="E533" s="44"/>
      <c r="F533" s="44"/>
      <c r="G533" s="35"/>
      <c r="H533" t="s">
        <v>38</v>
      </c>
      <c r="I533" t="s">
        <v>38</v>
      </c>
      <c r="J533" t="s">
        <v>38</v>
      </c>
      <c r="K533" t="s">
        <v>38</v>
      </c>
      <c r="L533" t="s">
        <v>38</v>
      </c>
    </row>
    <row r="534" spans="2:12">
      <c r="B534" s="40" t="s">
        <v>38</v>
      </c>
      <c r="C534" s="41">
        <v>1</v>
      </c>
      <c r="D534" s="42"/>
      <c r="E534" s="44"/>
      <c r="F534" s="44"/>
      <c r="G534" s="35"/>
      <c r="H534" t="s">
        <v>38</v>
      </c>
      <c r="I534" t="s">
        <v>38</v>
      </c>
      <c r="J534" t="s">
        <v>38</v>
      </c>
      <c r="K534" t="s">
        <v>38</v>
      </c>
      <c r="L534" t="s">
        <v>38</v>
      </c>
    </row>
    <row r="535" spans="2:12">
      <c r="B535" s="40" t="s">
        <v>38</v>
      </c>
      <c r="C535" s="41">
        <v>1</v>
      </c>
      <c r="D535" s="42"/>
      <c r="E535" s="44"/>
      <c r="F535" s="44"/>
      <c r="G535" s="35"/>
      <c r="H535" t="s">
        <v>38</v>
      </c>
      <c r="I535" t="s">
        <v>38</v>
      </c>
      <c r="J535" t="s">
        <v>38</v>
      </c>
      <c r="K535" t="s">
        <v>38</v>
      </c>
      <c r="L535" t="s">
        <v>38</v>
      </c>
    </row>
    <row r="536" spans="2:12">
      <c r="B536" s="40" t="s">
        <v>38</v>
      </c>
      <c r="C536" s="41">
        <v>1</v>
      </c>
      <c r="D536" s="42"/>
      <c r="E536" s="44"/>
      <c r="F536" s="44"/>
      <c r="G536" s="35"/>
      <c r="H536" t="s">
        <v>38</v>
      </c>
      <c r="I536" t="s">
        <v>38</v>
      </c>
      <c r="J536" t="s">
        <v>38</v>
      </c>
      <c r="K536" t="s">
        <v>38</v>
      </c>
      <c r="L536" t="s">
        <v>38</v>
      </c>
    </row>
    <row r="537" spans="2:12">
      <c r="B537" s="40" t="s">
        <v>38</v>
      </c>
      <c r="C537" s="41">
        <v>1</v>
      </c>
      <c r="D537" s="42"/>
      <c r="E537" s="44"/>
      <c r="F537" s="44"/>
      <c r="G537" s="35"/>
      <c r="H537" t="s">
        <v>38</v>
      </c>
      <c r="I537" t="s">
        <v>38</v>
      </c>
      <c r="J537" t="s">
        <v>38</v>
      </c>
      <c r="K537" t="s">
        <v>38</v>
      </c>
      <c r="L537" t="s">
        <v>38</v>
      </c>
    </row>
    <row r="538" spans="2:12">
      <c r="B538" s="40" t="s">
        <v>38</v>
      </c>
      <c r="C538" s="41">
        <v>1</v>
      </c>
      <c r="D538" s="42"/>
      <c r="E538" s="44"/>
      <c r="F538" s="44"/>
      <c r="G538" s="35"/>
      <c r="H538" t="s">
        <v>38</v>
      </c>
      <c r="I538" t="s">
        <v>38</v>
      </c>
      <c r="J538" t="s">
        <v>38</v>
      </c>
      <c r="K538" t="s">
        <v>38</v>
      </c>
      <c r="L538" t="s">
        <v>38</v>
      </c>
    </row>
    <row r="539" spans="2:12">
      <c r="B539" s="40" t="s">
        <v>38</v>
      </c>
      <c r="C539" s="41">
        <v>1</v>
      </c>
      <c r="D539" s="42"/>
      <c r="E539" s="44"/>
      <c r="F539" s="44"/>
      <c r="G539" s="35"/>
      <c r="H539" t="s">
        <v>38</v>
      </c>
      <c r="I539" t="s">
        <v>38</v>
      </c>
      <c r="J539" t="s">
        <v>38</v>
      </c>
      <c r="K539" t="s">
        <v>38</v>
      </c>
      <c r="L539" t="s">
        <v>38</v>
      </c>
    </row>
    <row r="540" spans="2:12">
      <c r="B540" s="40" t="s">
        <v>38</v>
      </c>
      <c r="C540" s="41">
        <v>1</v>
      </c>
      <c r="D540" s="42"/>
      <c r="E540" s="44"/>
      <c r="F540" s="44"/>
      <c r="G540" s="35"/>
      <c r="H540" t="s">
        <v>38</v>
      </c>
      <c r="I540" t="s">
        <v>38</v>
      </c>
      <c r="J540" t="s">
        <v>38</v>
      </c>
      <c r="K540" t="s">
        <v>38</v>
      </c>
      <c r="L540" t="s">
        <v>38</v>
      </c>
    </row>
    <row r="541" spans="2:12">
      <c r="B541" s="40" t="s">
        <v>38</v>
      </c>
      <c r="C541" s="41">
        <v>1</v>
      </c>
      <c r="D541" s="42"/>
      <c r="E541" s="44"/>
      <c r="F541" s="44"/>
      <c r="G541" s="35"/>
      <c r="H541" t="s">
        <v>38</v>
      </c>
      <c r="I541" t="s">
        <v>38</v>
      </c>
      <c r="J541" t="s">
        <v>38</v>
      </c>
      <c r="K541" t="s">
        <v>38</v>
      </c>
      <c r="L541" t="s">
        <v>38</v>
      </c>
    </row>
    <row r="542" spans="2:12">
      <c r="B542" s="40" t="s">
        <v>38</v>
      </c>
      <c r="C542" s="41">
        <v>1</v>
      </c>
      <c r="D542" s="42"/>
      <c r="E542" s="44"/>
      <c r="F542" s="44"/>
      <c r="G542" s="35"/>
      <c r="H542" t="s">
        <v>38</v>
      </c>
      <c r="I542" t="s">
        <v>38</v>
      </c>
      <c r="J542" t="s">
        <v>38</v>
      </c>
      <c r="K542" t="s">
        <v>38</v>
      </c>
      <c r="L542" t="s">
        <v>38</v>
      </c>
    </row>
    <row r="543" spans="2:12">
      <c r="B543" s="40" t="s">
        <v>38</v>
      </c>
      <c r="C543" s="41">
        <v>1</v>
      </c>
      <c r="D543" s="42"/>
      <c r="E543" s="44"/>
      <c r="F543" s="44"/>
      <c r="G543" s="35"/>
      <c r="H543" t="s">
        <v>38</v>
      </c>
      <c r="I543" t="s">
        <v>38</v>
      </c>
      <c r="J543" t="s">
        <v>38</v>
      </c>
      <c r="K543" t="s">
        <v>38</v>
      </c>
      <c r="L543" t="s">
        <v>38</v>
      </c>
    </row>
    <row r="544" spans="2:12">
      <c r="B544" s="45" t="s">
        <v>38</v>
      </c>
      <c r="C544" s="41">
        <v>1</v>
      </c>
      <c r="D544" s="42"/>
      <c r="E544" s="44"/>
      <c r="F544" s="44"/>
      <c r="G544" s="35"/>
      <c r="H544" t="s">
        <v>38</v>
      </c>
      <c r="I544" t="s">
        <v>38</v>
      </c>
      <c r="J544" t="s">
        <v>38</v>
      </c>
      <c r="K544" t="s">
        <v>38</v>
      </c>
      <c r="L544" t="s">
        <v>38</v>
      </c>
    </row>
    <row r="545" spans="1:16">
      <c r="B545" s="45" t="s">
        <v>38</v>
      </c>
      <c r="C545" s="41">
        <v>1</v>
      </c>
      <c r="D545" s="42"/>
      <c r="E545" s="44"/>
      <c r="F545" s="44"/>
      <c r="G545" s="35"/>
      <c r="H545" t="s">
        <v>38</v>
      </c>
      <c r="I545" t="s">
        <v>38</v>
      </c>
      <c r="J545" t="s">
        <v>38</v>
      </c>
      <c r="K545" t="s">
        <v>38</v>
      </c>
      <c r="L545" t="s">
        <v>38</v>
      </c>
    </row>
    <row r="546" spans="1:16">
      <c r="B546" s="45" t="s">
        <v>38</v>
      </c>
      <c r="C546" s="41">
        <v>1</v>
      </c>
      <c r="D546" s="42"/>
      <c r="E546" s="44"/>
      <c r="F546" s="44"/>
      <c r="G546" s="35"/>
      <c r="H546" t="s">
        <v>38</v>
      </c>
      <c r="I546" t="s">
        <v>38</v>
      </c>
      <c r="J546" t="s">
        <v>38</v>
      </c>
      <c r="K546" t="s">
        <v>38</v>
      </c>
      <c r="L546" t="s">
        <v>38</v>
      </c>
    </row>
    <row r="547" ht="15.15" spans="1:16">
      <c r="B547" s="45" t="s">
        <v>38</v>
      </c>
      <c r="C547" s="41">
        <v>1</v>
      </c>
      <c r="D547" s="46"/>
      <c r="E547" s="47"/>
      <c r="F547" s="47"/>
      <c r="G547" s="38"/>
      <c r="H547" t="s">
        <v>38</v>
      </c>
      <c r="I547" t="s">
        <v>38</v>
      </c>
      <c r="J547" t="s">
        <v>38</v>
      </c>
      <c r="K547" t="s">
        <v>38</v>
      </c>
      <c r="L547" t="s">
        <v>38</v>
      </c>
    </row>
    <row r="549" spans="1:16">
      <c r="A549" t="s">
        <v>45</v>
      </c>
      <c r="B549" s="40" t="s">
        <v>213</v>
      </c>
      <c r="C549" s="41">
        <v>1</v>
      </c>
      <c r="D549" s="42"/>
      <c r="E549" s="43">
        <v>0</v>
      </c>
      <c r="F549" s="44"/>
      <c r="G549" s="35"/>
      <c r="H549" t="s">
        <v>334</v>
      </c>
      <c r="I549" t="s">
        <v>300</v>
      </c>
      <c r="J549" t="s">
        <v>335</v>
      </c>
      <c r="K549" t="s">
        <v>38</v>
      </c>
      <c r="L549" t="s">
        <v>38</v>
      </c>
      <c r="O549" s="11">
        <v>40</v>
      </c>
      <c r="P549" s="39">
        <v>30521.56</v>
      </c>
    </row>
    <row r="550" spans="1:16">
      <c r="A550" s="11"/>
      <c r="B550" s="40" t="s">
        <v>214</v>
      </c>
      <c r="C550" s="41">
        <v>1</v>
      </c>
      <c r="D550" s="42"/>
      <c r="E550" s="15">
        <v>1</v>
      </c>
      <c r="F550" s="44"/>
      <c r="G550" s="35"/>
      <c r="H550" t="s">
        <v>334</v>
      </c>
      <c r="I550" t="s">
        <v>300</v>
      </c>
      <c r="J550" t="s">
        <v>335</v>
      </c>
      <c r="K550" t="s">
        <v>38</v>
      </c>
      <c r="L550" t="s">
        <v>38</v>
      </c>
    </row>
    <row r="551" spans="1:16">
      <c r="B551" s="40" t="s">
        <v>215</v>
      </c>
      <c r="C551" s="41">
        <v>1</v>
      </c>
      <c r="D551" s="42"/>
      <c r="E551" s="15">
        <v>1</v>
      </c>
      <c r="F551" s="44"/>
      <c r="G551" s="35"/>
      <c r="H551" t="s">
        <v>334</v>
      </c>
      <c r="I551" t="s">
        <v>300</v>
      </c>
      <c r="J551" t="s">
        <v>335</v>
      </c>
      <c r="K551" t="s">
        <v>38</v>
      </c>
      <c r="L551" t="s">
        <v>38</v>
      </c>
    </row>
    <row r="552" spans="1:16">
      <c r="B552" s="40" t="s">
        <v>216</v>
      </c>
      <c r="C552" s="41">
        <v>1</v>
      </c>
      <c r="D552" s="42"/>
      <c r="E552" s="15">
        <v>1</v>
      </c>
      <c r="F552" s="44"/>
      <c r="G552" s="35"/>
      <c r="H552" t="s">
        <v>334</v>
      </c>
      <c r="I552" t="s">
        <v>300</v>
      </c>
      <c r="J552" t="s">
        <v>335</v>
      </c>
      <c r="K552" t="s">
        <v>336</v>
      </c>
      <c r="L552" t="s">
        <v>337</v>
      </c>
    </row>
    <row r="553" spans="1:16">
      <c r="B553" s="45" t="s">
        <v>216</v>
      </c>
      <c r="C553" s="41">
        <v>1</v>
      </c>
      <c r="D553" s="42"/>
      <c r="E553" s="15">
        <v>2</v>
      </c>
      <c r="F553" s="44"/>
      <c r="G553" s="35"/>
      <c r="H553" t="s">
        <v>338</v>
      </c>
      <c r="I553" t="s">
        <v>300</v>
      </c>
      <c r="J553" t="s">
        <v>335</v>
      </c>
      <c r="K553" t="s">
        <v>336</v>
      </c>
      <c r="L553" t="s">
        <v>337</v>
      </c>
    </row>
    <row r="554" spans="1:16">
      <c r="B554" s="40" t="s">
        <v>216</v>
      </c>
      <c r="C554" s="41">
        <v>1</v>
      </c>
      <c r="D554" s="42"/>
      <c r="E554" s="15">
        <v>4</v>
      </c>
      <c r="F554" s="44"/>
      <c r="G554" s="35"/>
      <c r="H554" t="s">
        <v>339</v>
      </c>
      <c r="I554" t="s">
        <v>38</v>
      </c>
      <c r="J554" t="s">
        <v>38</v>
      </c>
      <c r="K554" t="s">
        <v>38</v>
      </c>
      <c r="L554" t="s">
        <v>337</v>
      </c>
    </row>
    <row r="555" spans="1:16">
      <c r="B555" s="40" t="s">
        <v>216</v>
      </c>
      <c r="C555" s="41">
        <v>0</v>
      </c>
      <c r="D555" s="42"/>
      <c r="E555" s="15">
        <v>4</v>
      </c>
      <c r="F555" s="44"/>
      <c r="G555" s="35"/>
      <c r="H555" t="s">
        <v>339</v>
      </c>
      <c r="I555" t="s">
        <v>38</v>
      </c>
      <c r="J555" t="s">
        <v>38</v>
      </c>
      <c r="K555" t="s">
        <v>38</v>
      </c>
      <c r="L555" t="s">
        <v>337</v>
      </c>
    </row>
    <row r="556" spans="1:16">
      <c r="B556" s="40" t="s">
        <v>139</v>
      </c>
      <c r="C556" s="41">
        <v>1</v>
      </c>
      <c r="D556" s="42"/>
      <c r="E556" s="15">
        <v>5</v>
      </c>
      <c r="F556" s="44"/>
      <c r="G556" s="35"/>
      <c r="H556" t="s">
        <v>38</v>
      </c>
      <c r="I556" t="s">
        <v>340</v>
      </c>
      <c r="J556" t="s">
        <v>38</v>
      </c>
      <c r="K556" t="s">
        <v>38</v>
      </c>
      <c r="L556" t="s">
        <v>337</v>
      </c>
    </row>
    <row r="557" spans="1:16">
      <c r="B557" s="40" t="s">
        <v>216</v>
      </c>
      <c r="C557" s="41">
        <v>1</v>
      </c>
      <c r="D557" s="42"/>
      <c r="E557" s="15">
        <v>5</v>
      </c>
      <c r="F557" s="44"/>
      <c r="G557" s="35">
        <v>1</v>
      </c>
      <c r="H557" t="s">
        <v>339</v>
      </c>
      <c r="I557" t="s">
        <v>341</v>
      </c>
      <c r="J557" t="s">
        <v>38</v>
      </c>
      <c r="K557" t="s">
        <v>38</v>
      </c>
      <c r="L557" t="s">
        <v>337</v>
      </c>
    </row>
    <row r="558" spans="1:16">
      <c r="B558" s="40" t="s">
        <v>216</v>
      </c>
      <c r="C558" s="41">
        <v>1</v>
      </c>
      <c r="D558" s="42"/>
      <c r="E558" s="15">
        <v>5</v>
      </c>
      <c r="F558" s="44"/>
      <c r="G558" s="35">
        <v>1</v>
      </c>
      <c r="H558" t="s">
        <v>339</v>
      </c>
      <c r="I558" t="s">
        <v>341</v>
      </c>
      <c r="J558" t="s">
        <v>38</v>
      </c>
      <c r="K558" t="s">
        <v>38</v>
      </c>
      <c r="L558" t="s">
        <v>337</v>
      </c>
    </row>
    <row r="559" spans="1:16">
      <c r="B559" s="40" t="s">
        <v>218</v>
      </c>
      <c r="C559" s="41">
        <v>1</v>
      </c>
      <c r="D559" s="42"/>
      <c r="E559" s="15">
        <v>5</v>
      </c>
      <c r="F559" s="44"/>
      <c r="G559" s="35">
        <v>1</v>
      </c>
      <c r="H559" t="s">
        <v>38</v>
      </c>
      <c r="I559" t="s">
        <v>340</v>
      </c>
      <c r="J559" t="s">
        <v>38</v>
      </c>
      <c r="K559" t="s">
        <v>38</v>
      </c>
      <c r="L559" t="s">
        <v>38</v>
      </c>
    </row>
    <row r="560" spans="1:16">
      <c r="B560" s="40" t="s">
        <v>216</v>
      </c>
      <c r="C560" s="41">
        <v>1</v>
      </c>
      <c r="D560" s="42"/>
      <c r="E560" s="15">
        <v>5</v>
      </c>
      <c r="F560" s="44"/>
      <c r="G560" s="35">
        <v>1</v>
      </c>
      <c r="H560" t="s">
        <v>339</v>
      </c>
      <c r="I560" t="s">
        <v>341</v>
      </c>
      <c r="J560" t="s">
        <v>335</v>
      </c>
      <c r="K560" t="s">
        <v>300</v>
      </c>
      <c r="L560" t="s">
        <v>38</v>
      </c>
    </row>
    <row r="561" spans="2:12">
      <c r="B561" s="45" t="s">
        <v>216</v>
      </c>
      <c r="C561" s="41">
        <v>0</v>
      </c>
      <c r="D561" s="42">
        <v>1</v>
      </c>
      <c r="E561" s="15">
        <v>5</v>
      </c>
      <c r="F561" s="15">
        <v>5</v>
      </c>
      <c r="G561" s="35">
        <v>1</v>
      </c>
      <c r="H561" t="s">
        <v>339</v>
      </c>
      <c r="I561" t="s">
        <v>341</v>
      </c>
      <c r="J561" t="s">
        <v>335</v>
      </c>
      <c r="K561" t="s">
        <v>300</v>
      </c>
      <c r="L561" t="s">
        <v>342</v>
      </c>
    </row>
    <row r="562" spans="2:12">
      <c r="B562" s="40" t="s">
        <v>208</v>
      </c>
      <c r="C562" s="41">
        <v>1</v>
      </c>
      <c r="D562" s="42">
        <v>1</v>
      </c>
      <c r="E562" s="15">
        <v>5</v>
      </c>
      <c r="F562" s="15">
        <v>5</v>
      </c>
      <c r="G562" s="35">
        <v>1</v>
      </c>
      <c r="H562" t="s">
        <v>38</v>
      </c>
      <c r="I562" t="s">
        <v>340</v>
      </c>
      <c r="J562" t="s">
        <v>335</v>
      </c>
      <c r="K562" t="s">
        <v>300</v>
      </c>
      <c r="L562" t="s">
        <v>38</v>
      </c>
    </row>
    <row r="563" spans="2:12">
      <c r="B563" s="45" t="s">
        <v>209</v>
      </c>
      <c r="C563" s="22">
        <v>1</v>
      </c>
      <c r="D563" s="42">
        <v>1</v>
      </c>
      <c r="E563" s="15">
        <v>5</v>
      </c>
      <c r="F563" s="15">
        <v>5</v>
      </c>
      <c r="G563" s="35">
        <v>1</v>
      </c>
      <c r="H563" t="s">
        <v>38</v>
      </c>
      <c r="I563" t="s">
        <v>340</v>
      </c>
      <c r="J563" t="s">
        <v>335</v>
      </c>
      <c r="K563" t="s">
        <v>300</v>
      </c>
      <c r="L563" t="s">
        <v>38</v>
      </c>
    </row>
    <row r="564" spans="2:12">
      <c r="B564" s="45" t="s">
        <v>216</v>
      </c>
      <c r="C564" s="41">
        <v>1</v>
      </c>
      <c r="D564" s="42">
        <v>1</v>
      </c>
      <c r="E564" s="15">
        <v>5</v>
      </c>
      <c r="F564" s="15">
        <v>5</v>
      </c>
      <c r="G564" s="35">
        <v>1</v>
      </c>
      <c r="H564" t="s">
        <v>339</v>
      </c>
      <c r="I564" t="s">
        <v>341</v>
      </c>
      <c r="J564" t="s">
        <v>38</v>
      </c>
      <c r="K564" t="s">
        <v>38</v>
      </c>
      <c r="L564" t="s">
        <v>38</v>
      </c>
    </row>
    <row r="565" spans="2:12">
      <c r="B565" s="40" t="s">
        <v>139</v>
      </c>
      <c r="C565" s="41">
        <v>1</v>
      </c>
      <c r="D565" s="42">
        <v>1</v>
      </c>
      <c r="E565" s="15">
        <v>5</v>
      </c>
      <c r="F565" s="15">
        <v>5</v>
      </c>
      <c r="G565" s="35">
        <v>1</v>
      </c>
      <c r="H565" t="s">
        <v>38</v>
      </c>
      <c r="I565" t="s">
        <v>340</v>
      </c>
      <c r="J565" t="s">
        <v>38</v>
      </c>
      <c r="K565" t="s">
        <v>38</v>
      </c>
      <c r="L565" t="s">
        <v>38</v>
      </c>
    </row>
    <row r="566" spans="2:12">
      <c r="B566" s="40" t="s">
        <v>216</v>
      </c>
      <c r="C566" s="41">
        <v>1</v>
      </c>
      <c r="D566" s="42">
        <v>1</v>
      </c>
      <c r="E566" s="15">
        <v>5</v>
      </c>
      <c r="F566" s="15">
        <v>5</v>
      </c>
      <c r="G566" s="35">
        <v>1</v>
      </c>
      <c r="H566" t="s">
        <v>339</v>
      </c>
      <c r="I566" t="s">
        <v>341</v>
      </c>
      <c r="J566" t="s">
        <v>38</v>
      </c>
      <c r="K566" t="s">
        <v>38</v>
      </c>
      <c r="L566" t="s">
        <v>342</v>
      </c>
    </row>
    <row r="567" spans="2:12">
      <c r="B567" s="40" t="s">
        <v>216</v>
      </c>
      <c r="C567" s="41">
        <v>1</v>
      </c>
      <c r="D567" s="42">
        <v>1</v>
      </c>
      <c r="E567" s="15">
        <v>5</v>
      </c>
      <c r="F567" s="15">
        <v>5</v>
      </c>
      <c r="G567" s="35">
        <v>1</v>
      </c>
      <c r="H567" t="s">
        <v>339</v>
      </c>
      <c r="I567" t="s">
        <v>341</v>
      </c>
      <c r="J567" t="s">
        <v>38</v>
      </c>
      <c r="K567" t="s">
        <v>38</v>
      </c>
      <c r="L567" t="s">
        <v>342</v>
      </c>
    </row>
    <row r="568" spans="2:12">
      <c r="B568" s="40" t="s">
        <v>218</v>
      </c>
      <c r="C568" s="41">
        <v>1</v>
      </c>
      <c r="D568" s="42"/>
      <c r="E568" s="15">
        <v>5</v>
      </c>
      <c r="F568" s="15">
        <v>5</v>
      </c>
      <c r="G568" s="35"/>
      <c r="H568" t="s">
        <v>38</v>
      </c>
      <c r="I568" t="s">
        <v>340</v>
      </c>
      <c r="J568" t="s">
        <v>38</v>
      </c>
      <c r="K568" t="s">
        <v>38</v>
      </c>
      <c r="L568" t="s">
        <v>38</v>
      </c>
    </row>
    <row r="569" spans="2:12">
      <c r="B569" s="45" t="s">
        <v>216</v>
      </c>
      <c r="C569" s="41">
        <v>1</v>
      </c>
      <c r="D569" s="42"/>
      <c r="E569" s="15">
        <v>5</v>
      </c>
      <c r="F569" s="15">
        <v>5</v>
      </c>
      <c r="G569" s="35"/>
      <c r="H569" t="s">
        <v>339</v>
      </c>
      <c r="I569" t="s">
        <v>38</v>
      </c>
      <c r="J569" t="s">
        <v>335</v>
      </c>
      <c r="K569" t="s">
        <v>300</v>
      </c>
      <c r="L569" t="s">
        <v>38</v>
      </c>
    </row>
    <row r="570" spans="2:12">
      <c r="B570" s="40" t="s">
        <v>216</v>
      </c>
      <c r="C570" s="41">
        <v>0</v>
      </c>
      <c r="D570" s="42"/>
      <c r="E570" s="15">
        <v>5</v>
      </c>
      <c r="F570" s="15">
        <v>5</v>
      </c>
      <c r="G570" s="35"/>
      <c r="H570" t="s">
        <v>339</v>
      </c>
      <c r="I570" t="s">
        <v>38</v>
      </c>
      <c r="J570" t="s">
        <v>335</v>
      </c>
      <c r="K570" t="s">
        <v>300</v>
      </c>
      <c r="L570" t="s">
        <v>38</v>
      </c>
    </row>
    <row r="571" spans="2:12">
      <c r="B571" s="40" t="s">
        <v>208</v>
      </c>
      <c r="C571" s="41">
        <v>1</v>
      </c>
      <c r="D571" s="42"/>
      <c r="E571" s="15">
        <v>5</v>
      </c>
      <c r="F571" s="15"/>
      <c r="G571" s="35"/>
      <c r="H571" t="s">
        <v>38</v>
      </c>
      <c r="I571" t="s">
        <v>340</v>
      </c>
      <c r="J571" t="s">
        <v>335</v>
      </c>
      <c r="K571" t="s">
        <v>300</v>
      </c>
      <c r="L571" t="s">
        <v>38</v>
      </c>
    </row>
    <row r="572" spans="2:12">
      <c r="B572" s="40" t="s">
        <v>209</v>
      </c>
      <c r="C572" s="22">
        <v>1</v>
      </c>
      <c r="D572" s="42"/>
      <c r="E572" s="15">
        <v>5</v>
      </c>
      <c r="F572" s="15"/>
      <c r="G572" s="35"/>
      <c r="H572" t="s">
        <v>38</v>
      </c>
      <c r="I572" t="s">
        <v>340</v>
      </c>
      <c r="J572" t="s">
        <v>335</v>
      </c>
      <c r="K572" t="s">
        <v>300</v>
      </c>
      <c r="L572" t="s">
        <v>38</v>
      </c>
    </row>
    <row r="573" spans="2:12">
      <c r="B573" s="40" t="s">
        <v>216</v>
      </c>
      <c r="C573" s="18">
        <v>1</v>
      </c>
      <c r="D573" s="42"/>
      <c r="E573" s="15">
        <v>5</v>
      </c>
      <c r="F573" s="15"/>
      <c r="G573" s="35"/>
      <c r="H573" t="s">
        <v>339</v>
      </c>
      <c r="I573" t="s">
        <v>38</v>
      </c>
      <c r="J573" t="s">
        <v>38</v>
      </c>
      <c r="K573" t="s">
        <v>38</v>
      </c>
      <c r="L573" t="s">
        <v>38</v>
      </c>
    </row>
    <row r="574" spans="2:12">
      <c r="B574" s="40" t="s">
        <v>216</v>
      </c>
      <c r="C574" s="18">
        <v>1</v>
      </c>
      <c r="D574" s="42"/>
      <c r="E574" s="15">
        <v>5</v>
      </c>
      <c r="F574" s="15"/>
      <c r="G574" s="35"/>
      <c r="H574" t="s">
        <v>339</v>
      </c>
      <c r="I574" t="s">
        <v>38</v>
      </c>
      <c r="J574" t="s">
        <v>38</v>
      </c>
      <c r="K574" t="s">
        <v>38</v>
      </c>
      <c r="L574" t="s">
        <v>38</v>
      </c>
    </row>
    <row r="575" spans="2:12">
      <c r="B575" s="40" t="s">
        <v>133</v>
      </c>
      <c r="C575" s="22">
        <v>3</v>
      </c>
      <c r="D575" s="42"/>
      <c r="E575" s="15">
        <v>5</v>
      </c>
      <c r="F575" s="15"/>
      <c r="G575" s="35"/>
      <c r="H575" t="s">
        <v>38</v>
      </c>
      <c r="I575" t="s">
        <v>340</v>
      </c>
      <c r="J575" t="s">
        <v>38</v>
      </c>
      <c r="K575" t="s">
        <v>38</v>
      </c>
      <c r="L575" t="s">
        <v>38</v>
      </c>
    </row>
    <row r="576" spans="2:12">
      <c r="B576" s="40" t="s">
        <v>129</v>
      </c>
      <c r="C576" s="18">
        <v>33.5</v>
      </c>
      <c r="D576" s="42"/>
      <c r="E576" s="15">
        <v>5</v>
      </c>
      <c r="F576" s="15"/>
      <c r="G576" s="35"/>
      <c r="H576" t="s">
        <v>38</v>
      </c>
      <c r="I576" t="s">
        <v>38</v>
      </c>
      <c r="J576" t="s">
        <v>38</v>
      </c>
      <c r="K576" t="s">
        <v>38</v>
      </c>
      <c r="L576" t="s">
        <v>38</v>
      </c>
    </row>
    <row r="577" spans="2:12">
      <c r="B577" s="40" t="s">
        <v>130</v>
      </c>
      <c r="C577" s="18">
        <v>33.5</v>
      </c>
      <c r="D577" s="42"/>
      <c r="E577" s="15">
        <v>5</v>
      </c>
      <c r="F577" s="15"/>
      <c r="G577" s="35"/>
      <c r="H577" t="s">
        <v>38</v>
      </c>
      <c r="I577" t="s">
        <v>38</v>
      </c>
      <c r="J577" t="s">
        <v>38</v>
      </c>
      <c r="K577" t="s">
        <v>38</v>
      </c>
      <c r="L577" t="s">
        <v>38</v>
      </c>
    </row>
    <row r="578" spans="2:12">
      <c r="B578" s="40" t="s">
        <v>155</v>
      </c>
      <c r="C578" s="41">
        <v>1</v>
      </c>
      <c r="D578" s="42"/>
      <c r="E578" s="15">
        <v>1</v>
      </c>
      <c r="F578" s="15"/>
      <c r="G578" s="35"/>
      <c r="H578" t="s">
        <v>38</v>
      </c>
      <c r="I578" t="s">
        <v>335</v>
      </c>
      <c r="J578" t="s">
        <v>337</v>
      </c>
      <c r="K578" t="s">
        <v>38</v>
      </c>
      <c r="L578" t="s">
        <v>38</v>
      </c>
    </row>
    <row r="579" spans="2:12">
      <c r="B579" s="40" t="s">
        <v>155</v>
      </c>
      <c r="C579" s="41">
        <v>1</v>
      </c>
      <c r="D579" s="42"/>
      <c r="E579" s="15">
        <v>3</v>
      </c>
      <c r="F579" s="15"/>
      <c r="G579" s="35"/>
      <c r="H579" t="s">
        <v>38</v>
      </c>
      <c r="I579" t="s">
        <v>335</v>
      </c>
      <c r="J579" t="s">
        <v>337</v>
      </c>
      <c r="K579" t="s">
        <v>38</v>
      </c>
      <c r="L579" t="s">
        <v>38</v>
      </c>
    </row>
    <row r="580" spans="2:12">
      <c r="B580" s="40" t="s">
        <v>155</v>
      </c>
      <c r="C580" s="41">
        <v>1</v>
      </c>
      <c r="D580" s="42"/>
      <c r="E580" s="15">
        <v>4</v>
      </c>
      <c r="F580" s="15"/>
      <c r="G580" s="35"/>
      <c r="H580" t="s">
        <v>38</v>
      </c>
      <c r="I580" t="s">
        <v>38</v>
      </c>
      <c r="J580" t="s">
        <v>337</v>
      </c>
      <c r="K580" t="s">
        <v>38</v>
      </c>
      <c r="L580" t="s">
        <v>38</v>
      </c>
    </row>
    <row r="581" spans="2:12">
      <c r="B581" s="40" t="s">
        <v>155</v>
      </c>
      <c r="C581" s="41">
        <v>2</v>
      </c>
      <c r="D581" s="42"/>
      <c r="E581" s="15">
        <v>5</v>
      </c>
      <c r="F581" s="15"/>
      <c r="G581" s="35"/>
      <c r="H581" t="s">
        <v>38</v>
      </c>
      <c r="I581" t="s">
        <v>38</v>
      </c>
      <c r="J581" t="s">
        <v>337</v>
      </c>
      <c r="K581" t="s">
        <v>38</v>
      </c>
      <c r="L581" t="s">
        <v>38</v>
      </c>
    </row>
    <row r="582" spans="2:12">
      <c r="B582" s="40" t="s">
        <v>38</v>
      </c>
      <c r="C582" s="41">
        <v>1</v>
      </c>
      <c r="D582" s="42"/>
      <c r="E582" s="15">
        <v>5</v>
      </c>
      <c r="F582" s="15"/>
      <c r="G582" s="35"/>
      <c r="H582" t="s">
        <v>38</v>
      </c>
      <c r="I582" t="s">
        <v>38</v>
      </c>
      <c r="J582" t="s">
        <v>38</v>
      </c>
      <c r="K582" t="s">
        <v>38</v>
      </c>
      <c r="L582" t="s">
        <v>38</v>
      </c>
    </row>
    <row r="583" spans="2:12">
      <c r="B583" s="40" t="s">
        <v>38</v>
      </c>
      <c r="C583" s="41">
        <v>1</v>
      </c>
      <c r="D583" s="42"/>
      <c r="E583" s="15">
        <v>5</v>
      </c>
      <c r="F583" s="15"/>
      <c r="G583" s="35"/>
      <c r="H583" t="s">
        <v>38</v>
      </c>
      <c r="I583" t="s">
        <v>38</v>
      </c>
      <c r="J583" t="s">
        <v>38</v>
      </c>
      <c r="K583" t="s">
        <v>38</v>
      </c>
      <c r="L583" t="s">
        <v>38</v>
      </c>
    </row>
    <row r="584" spans="2:12">
      <c r="B584" s="40" t="s">
        <v>38</v>
      </c>
      <c r="C584" s="41">
        <v>1</v>
      </c>
      <c r="D584" s="42"/>
      <c r="E584" s="15">
        <v>5</v>
      </c>
      <c r="F584" s="44"/>
      <c r="G584" s="35"/>
      <c r="H584" t="s">
        <v>38</v>
      </c>
      <c r="I584" t="s">
        <v>38</v>
      </c>
      <c r="J584" t="s">
        <v>38</v>
      </c>
      <c r="K584" t="s">
        <v>38</v>
      </c>
      <c r="L584" t="s">
        <v>38</v>
      </c>
    </row>
    <row r="585" spans="2:12">
      <c r="B585" s="40" t="s">
        <v>38</v>
      </c>
      <c r="C585" s="41">
        <v>1</v>
      </c>
      <c r="D585" s="42"/>
      <c r="E585" s="15">
        <v>5</v>
      </c>
      <c r="F585" s="44"/>
      <c r="G585" s="35"/>
      <c r="H585" t="s">
        <v>38</v>
      </c>
      <c r="I585" t="s">
        <v>38</v>
      </c>
      <c r="J585" t="s">
        <v>38</v>
      </c>
      <c r="K585" t="s">
        <v>38</v>
      </c>
      <c r="L585" t="s">
        <v>38</v>
      </c>
    </row>
    <row r="586" spans="2:12">
      <c r="B586" s="40" t="s">
        <v>38</v>
      </c>
      <c r="C586" s="41">
        <v>1</v>
      </c>
      <c r="D586" s="42"/>
      <c r="E586" s="15">
        <v>5</v>
      </c>
      <c r="F586" s="44"/>
      <c r="G586" s="35"/>
      <c r="H586" t="s">
        <v>38</v>
      </c>
      <c r="I586" t="s">
        <v>38</v>
      </c>
      <c r="J586" t="s">
        <v>38</v>
      </c>
      <c r="K586" t="s">
        <v>38</v>
      </c>
      <c r="L586" t="s">
        <v>38</v>
      </c>
    </row>
    <row r="587" spans="2:12">
      <c r="B587" s="40" t="s">
        <v>38</v>
      </c>
      <c r="C587" s="41">
        <v>1</v>
      </c>
      <c r="D587" s="42"/>
      <c r="E587" s="15">
        <v>5</v>
      </c>
      <c r="F587" s="44"/>
      <c r="G587" s="35"/>
      <c r="H587" t="s">
        <v>38</v>
      </c>
      <c r="I587" t="s">
        <v>38</v>
      </c>
      <c r="J587" t="s">
        <v>38</v>
      </c>
      <c r="K587" t="s">
        <v>38</v>
      </c>
      <c r="L587" t="s">
        <v>38</v>
      </c>
    </row>
    <row r="588" spans="2:12">
      <c r="B588" s="40" t="s">
        <v>38</v>
      </c>
      <c r="C588" s="41">
        <v>1</v>
      </c>
      <c r="D588" s="42"/>
      <c r="E588" s="15">
        <v>5</v>
      </c>
      <c r="F588" s="44"/>
      <c r="G588" s="35"/>
      <c r="H588" t="s">
        <v>38</v>
      </c>
      <c r="I588" t="s">
        <v>38</v>
      </c>
      <c r="J588" t="s">
        <v>38</v>
      </c>
      <c r="K588" t="s">
        <v>38</v>
      </c>
      <c r="L588" t="s">
        <v>38</v>
      </c>
    </row>
    <row r="589" spans="2:12">
      <c r="B589" s="40" t="s">
        <v>38</v>
      </c>
      <c r="C589" s="41">
        <v>1</v>
      </c>
      <c r="D589" s="42"/>
      <c r="E589" s="15">
        <v>5</v>
      </c>
      <c r="F589" s="44"/>
      <c r="G589" s="35"/>
      <c r="H589" t="s">
        <v>38</v>
      </c>
      <c r="I589" t="s">
        <v>38</v>
      </c>
      <c r="J589" t="s">
        <v>38</v>
      </c>
      <c r="K589" t="s">
        <v>38</v>
      </c>
      <c r="L589" t="s">
        <v>38</v>
      </c>
    </row>
    <row r="590" spans="2:12">
      <c r="B590" s="40" t="s">
        <v>38</v>
      </c>
      <c r="C590" s="41">
        <v>1</v>
      </c>
      <c r="D590" s="42"/>
      <c r="E590" s="15">
        <v>5</v>
      </c>
      <c r="F590" s="44"/>
      <c r="G590" s="35"/>
      <c r="H590" t="s">
        <v>38</v>
      </c>
      <c r="I590" t="s">
        <v>38</v>
      </c>
      <c r="J590" t="s">
        <v>38</v>
      </c>
      <c r="K590" t="s">
        <v>38</v>
      </c>
      <c r="L590" t="s">
        <v>38</v>
      </c>
    </row>
    <row r="591" spans="2:12">
      <c r="B591" s="40" t="s">
        <v>38</v>
      </c>
      <c r="C591" s="41">
        <v>1</v>
      </c>
      <c r="D591" s="42"/>
      <c r="E591" s="15">
        <v>5</v>
      </c>
      <c r="F591" s="44"/>
      <c r="G591" s="35"/>
      <c r="H591" t="s">
        <v>38</v>
      </c>
      <c r="I591" t="s">
        <v>38</v>
      </c>
      <c r="J591" t="s">
        <v>38</v>
      </c>
      <c r="K591" t="s">
        <v>38</v>
      </c>
      <c r="L591" t="s">
        <v>38</v>
      </c>
    </row>
    <row r="592" spans="2:12">
      <c r="B592" s="40" t="s">
        <v>38</v>
      </c>
      <c r="C592" s="41">
        <v>1</v>
      </c>
      <c r="D592" s="42"/>
      <c r="E592" s="15">
        <v>5</v>
      </c>
      <c r="F592" s="44"/>
      <c r="G592" s="35"/>
      <c r="H592" t="s">
        <v>38</v>
      </c>
      <c r="I592" t="s">
        <v>38</v>
      </c>
      <c r="J592" t="s">
        <v>38</v>
      </c>
      <c r="K592" t="s">
        <v>38</v>
      </c>
      <c r="L592" t="s">
        <v>38</v>
      </c>
    </row>
    <row r="593" spans="2:12">
      <c r="B593" s="40" t="s">
        <v>38</v>
      </c>
      <c r="C593" s="41">
        <v>1</v>
      </c>
      <c r="D593" s="42"/>
      <c r="E593" s="15">
        <v>5</v>
      </c>
      <c r="F593" s="44"/>
      <c r="G593" s="35"/>
      <c r="H593" t="s">
        <v>38</v>
      </c>
      <c r="I593" t="s">
        <v>38</v>
      </c>
      <c r="J593" t="s">
        <v>38</v>
      </c>
      <c r="K593" t="s">
        <v>38</v>
      </c>
      <c r="L593" t="s">
        <v>38</v>
      </c>
    </row>
    <row r="594" spans="2:12">
      <c r="B594" s="40" t="s">
        <v>38</v>
      </c>
      <c r="C594" s="41">
        <v>1</v>
      </c>
      <c r="D594" s="42"/>
      <c r="E594" s="15">
        <v>5</v>
      </c>
      <c r="F594" s="44"/>
      <c r="G594" s="35"/>
      <c r="H594" t="s">
        <v>38</v>
      </c>
      <c r="I594" t="s">
        <v>38</v>
      </c>
      <c r="J594" t="s">
        <v>38</v>
      </c>
      <c r="K594" t="s">
        <v>38</v>
      </c>
      <c r="L594" t="s">
        <v>38</v>
      </c>
    </row>
    <row r="595" spans="2:12">
      <c r="B595" s="40" t="s">
        <v>38</v>
      </c>
      <c r="C595" s="41">
        <v>1</v>
      </c>
      <c r="D595" s="42"/>
      <c r="E595" s="15">
        <v>5</v>
      </c>
      <c r="F595" s="44"/>
      <c r="G595" s="35"/>
      <c r="H595" t="s">
        <v>38</v>
      </c>
      <c r="I595" t="s">
        <v>38</v>
      </c>
      <c r="J595" t="s">
        <v>38</v>
      </c>
      <c r="K595" t="s">
        <v>38</v>
      </c>
      <c r="L595" t="s">
        <v>38</v>
      </c>
    </row>
    <row r="596" spans="2:12">
      <c r="B596" s="40" t="s">
        <v>38</v>
      </c>
      <c r="C596" s="41">
        <v>1</v>
      </c>
      <c r="D596" s="42"/>
      <c r="E596" s="15">
        <v>5</v>
      </c>
      <c r="F596" s="44"/>
      <c r="G596" s="35"/>
      <c r="H596" t="s">
        <v>38</v>
      </c>
      <c r="I596" t="s">
        <v>38</v>
      </c>
      <c r="J596" t="s">
        <v>38</v>
      </c>
      <c r="K596" t="s">
        <v>38</v>
      </c>
      <c r="L596" t="s">
        <v>38</v>
      </c>
    </row>
    <row r="597" spans="2:12">
      <c r="B597" s="40" t="s">
        <v>38</v>
      </c>
      <c r="C597" s="41">
        <v>1</v>
      </c>
      <c r="D597" s="42"/>
      <c r="E597" s="44"/>
      <c r="F597" s="44"/>
      <c r="G597" s="35"/>
      <c r="H597" t="s">
        <v>38</v>
      </c>
      <c r="I597" t="s">
        <v>38</v>
      </c>
      <c r="J597" t="s">
        <v>38</v>
      </c>
      <c r="K597" t="s">
        <v>38</v>
      </c>
      <c r="L597" t="s">
        <v>38</v>
      </c>
    </row>
    <row r="598" spans="2:12">
      <c r="B598" s="40" t="s">
        <v>38</v>
      </c>
      <c r="C598" s="41">
        <v>1</v>
      </c>
      <c r="D598" s="42"/>
      <c r="E598" s="44"/>
      <c r="F598" s="44"/>
      <c r="G598" s="35"/>
      <c r="H598" t="s">
        <v>38</v>
      </c>
      <c r="I598" t="s">
        <v>38</v>
      </c>
      <c r="J598" t="s">
        <v>38</v>
      </c>
      <c r="K598" t="s">
        <v>38</v>
      </c>
      <c r="L598" t="s">
        <v>38</v>
      </c>
    </row>
    <row r="599" spans="2:12">
      <c r="B599" s="40" t="s">
        <v>38</v>
      </c>
      <c r="C599" s="41">
        <v>1</v>
      </c>
      <c r="D599" s="42"/>
      <c r="E599" s="44"/>
      <c r="F599" s="44"/>
      <c r="G599" s="35"/>
      <c r="H599" t="s">
        <v>38</v>
      </c>
      <c r="I599" t="s">
        <v>38</v>
      </c>
      <c r="J599" t="s">
        <v>38</v>
      </c>
      <c r="K599" t="s">
        <v>38</v>
      </c>
      <c r="L599" t="s">
        <v>38</v>
      </c>
    </row>
    <row r="600" spans="2:12">
      <c r="B600" s="40" t="s">
        <v>38</v>
      </c>
      <c r="C600" s="41">
        <v>1</v>
      </c>
      <c r="D600" s="42"/>
      <c r="E600" s="44"/>
      <c r="F600" s="44"/>
      <c r="G600" s="35"/>
      <c r="H600" t="s">
        <v>38</v>
      </c>
      <c r="I600" t="s">
        <v>38</v>
      </c>
      <c r="J600" t="s">
        <v>38</v>
      </c>
      <c r="K600" t="s">
        <v>38</v>
      </c>
      <c r="L600" t="s">
        <v>38</v>
      </c>
    </row>
    <row r="601" spans="2:12">
      <c r="B601" s="40" t="s">
        <v>38</v>
      </c>
      <c r="C601" s="41">
        <v>1</v>
      </c>
      <c r="D601" s="42"/>
      <c r="E601" s="44"/>
      <c r="F601" s="44"/>
      <c r="G601" s="35"/>
      <c r="H601" t="s">
        <v>38</v>
      </c>
      <c r="I601" t="s">
        <v>38</v>
      </c>
      <c r="J601" t="s">
        <v>38</v>
      </c>
      <c r="K601" t="s">
        <v>38</v>
      </c>
      <c r="L601" t="s">
        <v>38</v>
      </c>
    </row>
    <row r="602" spans="2:12">
      <c r="B602" s="40" t="s">
        <v>38</v>
      </c>
      <c r="C602" s="41">
        <v>1</v>
      </c>
      <c r="D602" s="42"/>
      <c r="E602" s="44"/>
      <c r="F602" s="44"/>
      <c r="G602" s="35"/>
      <c r="H602" t="s">
        <v>38</v>
      </c>
      <c r="I602" t="s">
        <v>38</v>
      </c>
      <c r="J602" t="s">
        <v>38</v>
      </c>
      <c r="K602" t="s">
        <v>38</v>
      </c>
      <c r="L602" t="s">
        <v>38</v>
      </c>
    </row>
    <row r="603" spans="2:12">
      <c r="B603" s="40" t="s">
        <v>38</v>
      </c>
      <c r="C603" s="41">
        <v>1</v>
      </c>
      <c r="D603" s="42"/>
      <c r="E603" s="44"/>
      <c r="F603" s="44"/>
      <c r="G603" s="35"/>
      <c r="H603" t="s">
        <v>38</v>
      </c>
      <c r="I603" t="s">
        <v>38</v>
      </c>
      <c r="J603" t="s">
        <v>38</v>
      </c>
      <c r="K603" t="s">
        <v>38</v>
      </c>
      <c r="L603" t="s">
        <v>38</v>
      </c>
    </row>
    <row r="604" spans="2:12">
      <c r="B604" s="40" t="s">
        <v>38</v>
      </c>
      <c r="C604" s="41">
        <v>1</v>
      </c>
      <c r="D604" s="42"/>
      <c r="E604" s="44"/>
      <c r="F604" s="44"/>
      <c r="G604" s="35"/>
      <c r="H604" t="s">
        <v>38</v>
      </c>
      <c r="I604" t="s">
        <v>38</v>
      </c>
      <c r="J604" t="s">
        <v>38</v>
      </c>
      <c r="K604" t="s">
        <v>38</v>
      </c>
      <c r="L604" t="s">
        <v>38</v>
      </c>
    </row>
    <row r="605" spans="2:12">
      <c r="B605" s="40" t="s">
        <v>38</v>
      </c>
      <c r="C605" s="41">
        <v>1</v>
      </c>
      <c r="D605" s="42"/>
      <c r="E605" s="44"/>
      <c r="F605" s="44"/>
      <c r="G605" s="35"/>
      <c r="H605" t="s">
        <v>38</v>
      </c>
      <c r="I605" t="s">
        <v>38</v>
      </c>
      <c r="J605" t="s">
        <v>38</v>
      </c>
      <c r="K605" t="s">
        <v>38</v>
      </c>
      <c r="L605" t="s">
        <v>38</v>
      </c>
    </row>
    <row r="606" spans="2:12">
      <c r="B606" s="40" t="s">
        <v>38</v>
      </c>
      <c r="C606" s="41">
        <v>1</v>
      </c>
      <c r="D606" s="42"/>
      <c r="E606" s="44"/>
      <c r="F606" s="44"/>
      <c r="G606" s="35"/>
      <c r="H606" t="s">
        <v>38</v>
      </c>
      <c r="I606" t="s">
        <v>38</v>
      </c>
      <c r="J606" t="s">
        <v>38</v>
      </c>
      <c r="K606" t="s">
        <v>38</v>
      </c>
      <c r="L606" t="s">
        <v>38</v>
      </c>
    </row>
    <row r="607" spans="2:12">
      <c r="B607" s="40" t="s">
        <v>38</v>
      </c>
      <c r="C607" s="41">
        <v>1</v>
      </c>
      <c r="D607" s="42"/>
      <c r="E607" s="44"/>
      <c r="F607" s="44"/>
      <c r="G607" s="35"/>
      <c r="H607" t="s">
        <v>38</v>
      </c>
      <c r="I607" t="s">
        <v>38</v>
      </c>
      <c r="J607" t="s">
        <v>38</v>
      </c>
      <c r="K607" t="s">
        <v>38</v>
      </c>
      <c r="L607" t="s">
        <v>38</v>
      </c>
    </row>
    <row r="608" spans="2:12">
      <c r="B608" s="40" t="s">
        <v>38</v>
      </c>
      <c r="C608" s="41">
        <v>1</v>
      </c>
      <c r="D608" s="42"/>
      <c r="E608" s="44"/>
      <c r="F608" s="44"/>
      <c r="G608" s="35"/>
      <c r="H608" t="s">
        <v>38</v>
      </c>
      <c r="I608" t="s">
        <v>38</v>
      </c>
      <c r="J608" t="s">
        <v>38</v>
      </c>
      <c r="K608" t="s">
        <v>38</v>
      </c>
      <c r="L608" t="s">
        <v>38</v>
      </c>
    </row>
    <row r="609" spans="2:12">
      <c r="B609" s="40" t="s">
        <v>38</v>
      </c>
      <c r="C609" s="41">
        <v>1</v>
      </c>
      <c r="D609" s="42"/>
      <c r="E609" s="44"/>
      <c r="F609" s="44"/>
      <c r="G609" s="35"/>
      <c r="H609" t="s">
        <v>38</v>
      </c>
      <c r="I609" t="s">
        <v>38</v>
      </c>
      <c r="J609" t="s">
        <v>38</v>
      </c>
      <c r="K609" t="s">
        <v>38</v>
      </c>
      <c r="L609" t="s">
        <v>38</v>
      </c>
    </row>
    <row r="610" spans="2:12">
      <c r="B610" s="40" t="s">
        <v>38</v>
      </c>
      <c r="C610" s="41">
        <v>1</v>
      </c>
      <c r="D610" s="42"/>
      <c r="E610" s="44"/>
      <c r="F610" s="44"/>
      <c r="G610" s="35"/>
      <c r="H610" t="s">
        <v>38</v>
      </c>
      <c r="I610" t="s">
        <v>38</v>
      </c>
      <c r="J610" t="s">
        <v>38</v>
      </c>
      <c r="K610" t="s">
        <v>38</v>
      </c>
      <c r="L610" t="s">
        <v>38</v>
      </c>
    </row>
    <row r="611" spans="2:12">
      <c r="B611" s="45" t="s">
        <v>38</v>
      </c>
      <c r="C611" s="41">
        <v>1</v>
      </c>
      <c r="D611" s="42"/>
      <c r="E611" s="44"/>
      <c r="F611" s="44"/>
      <c r="G611" s="35"/>
      <c r="H611" t="s">
        <v>38</v>
      </c>
      <c r="I611" t="s">
        <v>38</v>
      </c>
      <c r="J611" t="s">
        <v>38</v>
      </c>
      <c r="K611" t="s">
        <v>38</v>
      </c>
      <c r="L611" t="s">
        <v>38</v>
      </c>
    </row>
    <row r="612" spans="2:12">
      <c r="B612" s="45" t="s">
        <v>38</v>
      </c>
      <c r="C612" s="41">
        <v>1</v>
      </c>
      <c r="D612" s="42"/>
      <c r="E612" s="44"/>
      <c r="F612" s="44"/>
      <c r="G612" s="35"/>
      <c r="H612" t="s">
        <v>38</v>
      </c>
      <c r="I612" t="s">
        <v>38</v>
      </c>
      <c r="J612" t="s">
        <v>38</v>
      </c>
      <c r="K612" t="s">
        <v>38</v>
      </c>
      <c r="L612" t="s">
        <v>38</v>
      </c>
    </row>
    <row r="613" spans="2:12">
      <c r="B613" s="45" t="s">
        <v>38</v>
      </c>
      <c r="C613" s="41">
        <v>1</v>
      </c>
      <c r="D613" s="42"/>
      <c r="E613" s="44"/>
      <c r="F613" s="44"/>
      <c r="G613" s="35"/>
      <c r="H613" t="s">
        <v>38</v>
      </c>
      <c r="I613" t="s">
        <v>38</v>
      </c>
      <c r="J613" t="s">
        <v>38</v>
      </c>
      <c r="K613" t="s">
        <v>38</v>
      </c>
      <c r="L613" t="s">
        <v>38</v>
      </c>
    </row>
    <row r="614" spans="2:12">
      <c r="B614" s="45" t="s">
        <v>38</v>
      </c>
      <c r="C614" s="41">
        <v>1</v>
      </c>
      <c r="D614" s="42"/>
      <c r="E614" s="44"/>
      <c r="F614" s="44"/>
      <c r="G614" s="35"/>
      <c r="H614" t="s">
        <v>38</v>
      </c>
      <c r="I614" t="s">
        <v>38</v>
      </c>
      <c r="J614" t="s">
        <v>38</v>
      </c>
      <c r="K614" t="s">
        <v>38</v>
      </c>
      <c r="L614" t="s">
        <v>38</v>
      </c>
    </row>
    <row r="615" spans="2:12">
      <c r="B615" s="45" t="s">
        <v>38</v>
      </c>
      <c r="C615" s="41">
        <v>1</v>
      </c>
      <c r="D615" s="42"/>
      <c r="E615" s="44"/>
      <c r="F615" s="44"/>
      <c r="G615" s="35"/>
      <c r="H615" t="s">
        <v>38</v>
      </c>
      <c r="I615" t="s">
        <v>38</v>
      </c>
      <c r="J615" t="s">
        <v>38</v>
      </c>
      <c r="K615" t="s">
        <v>38</v>
      </c>
      <c r="L615" t="s">
        <v>38</v>
      </c>
    </row>
    <row r="616" spans="2:12">
      <c r="B616" s="45" t="s">
        <v>38</v>
      </c>
      <c r="C616" s="41">
        <v>1</v>
      </c>
      <c r="D616" s="42"/>
      <c r="E616" s="44"/>
      <c r="F616" s="44"/>
      <c r="G616" s="35"/>
      <c r="H616" t="s">
        <v>38</v>
      </c>
      <c r="I616" t="s">
        <v>38</v>
      </c>
      <c r="J616" t="s">
        <v>38</v>
      </c>
      <c r="K616" t="s">
        <v>38</v>
      </c>
      <c r="L616" t="s">
        <v>38</v>
      </c>
    </row>
    <row r="617" spans="2:12">
      <c r="B617" s="45" t="s">
        <v>38</v>
      </c>
      <c r="C617" s="41">
        <v>1</v>
      </c>
      <c r="D617" s="42"/>
      <c r="E617" s="44"/>
      <c r="F617" s="44"/>
      <c r="G617" s="35"/>
      <c r="H617" t="s">
        <v>38</v>
      </c>
      <c r="I617" t="s">
        <v>38</v>
      </c>
      <c r="J617" t="s">
        <v>38</v>
      </c>
      <c r="K617" t="s">
        <v>38</v>
      </c>
      <c r="L617" t="s">
        <v>38</v>
      </c>
    </row>
    <row r="618" spans="2:12">
      <c r="B618" s="45" t="s">
        <v>38</v>
      </c>
      <c r="C618" s="41">
        <v>1</v>
      </c>
      <c r="D618" s="42"/>
      <c r="E618" s="44"/>
      <c r="F618" s="44"/>
      <c r="G618" s="35"/>
      <c r="H618" t="s">
        <v>38</v>
      </c>
      <c r="I618" t="s">
        <v>38</v>
      </c>
      <c r="J618" t="s">
        <v>38</v>
      </c>
      <c r="K618" t="s">
        <v>38</v>
      </c>
      <c r="L618" t="s">
        <v>38</v>
      </c>
    </row>
    <row r="619" spans="2:12">
      <c r="B619" s="45" t="s">
        <v>38</v>
      </c>
      <c r="C619" s="41">
        <v>1</v>
      </c>
      <c r="D619" s="42"/>
      <c r="E619" s="44"/>
      <c r="F619" s="44"/>
      <c r="G619" s="35"/>
      <c r="H619" t="s">
        <v>38</v>
      </c>
      <c r="I619" t="s">
        <v>38</v>
      </c>
      <c r="J619" t="s">
        <v>38</v>
      </c>
      <c r="K619" t="s">
        <v>38</v>
      </c>
      <c r="L619" t="s">
        <v>38</v>
      </c>
    </row>
    <row r="620" spans="2:12">
      <c r="B620" s="45" t="s">
        <v>38</v>
      </c>
      <c r="C620" s="41">
        <v>1</v>
      </c>
      <c r="D620" s="42"/>
      <c r="E620" s="44"/>
      <c r="F620" s="44"/>
      <c r="G620" s="35"/>
      <c r="H620" t="s">
        <v>38</v>
      </c>
      <c r="I620" t="s">
        <v>38</v>
      </c>
      <c r="J620" t="s">
        <v>38</v>
      </c>
      <c r="K620" t="s">
        <v>38</v>
      </c>
      <c r="L620" t="s">
        <v>38</v>
      </c>
    </row>
    <row r="621" spans="2:12">
      <c r="B621" s="45" t="s">
        <v>38</v>
      </c>
      <c r="C621" s="41">
        <v>1</v>
      </c>
      <c r="D621" s="42"/>
      <c r="E621" s="44"/>
      <c r="F621" s="44"/>
      <c r="G621" s="35"/>
      <c r="H621" t="s">
        <v>38</v>
      </c>
      <c r="I621" t="s">
        <v>38</v>
      </c>
      <c r="J621" t="s">
        <v>38</v>
      </c>
      <c r="K621" t="s">
        <v>38</v>
      </c>
      <c r="L621" t="s">
        <v>38</v>
      </c>
    </row>
    <row r="622" spans="2:12">
      <c r="B622" s="45" t="s">
        <v>38</v>
      </c>
      <c r="C622" s="41">
        <v>1</v>
      </c>
      <c r="D622" s="42"/>
      <c r="E622" s="44"/>
      <c r="F622" s="44"/>
      <c r="G622" s="35"/>
      <c r="H622" t="s">
        <v>38</v>
      </c>
      <c r="I622" t="s">
        <v>38</v>
      </c>
      <c r="J622" t="s">
        <v>38</v>
      </c>
      <c r="K622" t="s">
        <v>38</v>
      </c>
      <c r="L622" t="s">
        <v>38</v>
      </c>
    </row>
    <row r="623" spans="2:12">
      <c r="B623" s="40" t="s">
        <v>38</v>
      </c>
      <c r="C623" s="41">
        <v>1</v>
      </c>
      <c r="D623" s="42"/>
      <c r="E623" s="44"/>
      <c r="F623" s="44"/>
      <c r="G623" s="35"/>
      <c r="H623" t="s">
        <v>38</v>
      </c>
      <c r="I623" t="s">
        <v>38</v>
      </c>
      <c r="J623" t="s">
        <v>38</v>
      </c>
      <c r="K623" t="s">
        <v>38</v>
      </c>
      <c r="L623" t="s">
        <v>38</v>
      </c>
    </row>
    <row r="624" spans="2:12">
      <c r="B624" s="40" t="s">
        <v>38</v>
      </c>
      <c r="C624" s="41">
        <v>1</v>
      </c>
      <c r="D624" s="42"/>
      <c r="E624" s="44"/>
      <c r="F624" s="44"/>
      <c r="G624" s="35"/>
      <c r="H624" t="s">
        <v>38</v>
      </c>
      <c r="I624" t="s">
        <v>38</v>
      </c>
      <c r="J624" t="s">
        <v>38</v>
      </c>
      <c r="K624" t="s">
        <v>38</v>
      </c>
      <c r="L624" t="s">
        <v>38</v>
      </c>
    </row>
    <row r="625" spans="1:16">
      <c r="B625" s="40" t="s">
        <v>38</v>
      </c>
      <c r="C625" s="41">
        <v>1</v>
      </c>
      <c r="D625" s="42"/>
      <c r="E625" s="44"/>
      <c r="F625" s="44"/>
      <c r="G625" s="35"/>
      <c r="H625" t="s">
        <v>38</v>
      </c>
      <c r="I625" t="s">
        <v>38</v>
      </c>
      <c r="J625" t="s">
        <v>38</v>
      </c>
      <c r="K625" t="s">
        <v>38</v>
      </c>
      <c r="L625" t="s">
        <v>38</v>
      </c>
    </row>
    <row r="626" spans="1:16">
      <c r="B626" s="40" t="s">
        <v>38</v>
      </c>
      <c r="C626" s="41">
        <v>1</v>
      </c>
      <c r="D626" s="42"/>
      <c r="E626" s="44"/>
      <c r="F626" s="44"/>
      <c r="G626" s="35"/>
      <c r="H626" t="s">
        <v>38</v>
      </c>
      <c r="I626" t="s">
        <v>38</v>
      </c>
      <c r="J626" t="s">
        <v>38</v>
      </c>
      <c r="K626" t="s">
        <v>38</v>
      </c>
      <c r="L626" t="s">
        <v>38</v>
      </c>
    </row>
    <row r="627" spans="1:16">
      <c r="B627" s="40" t="s">
        <v>38</v>
      </c>
      <c r="C627" s="41">
        <v>1</v>
      </c>
      <c r="D627" s="42"/>
      <c r="E627" s="44"/>
      <c r="F627" s="44"/>
      <c r="G627" s="35"/>
      <c r="H627" t="s">
        <v>38</v>
      </c>
      <c r="I627" t="s">
        <v>38</v>
      </c>
      <c r="J627" t="s">
        <v>38</v>
      </c>
      <c r="K627" t="s">
        <v>38</v>
      </c>
      <c r="L627" t="s">
        <v>38</v>
      </c>
    </row>
    <row r="628" spans="1:16">
      <c r="B628" s="40" t="s">
        <v>38</v>
      </c>
      <c r="C628" s="41">
        <v>1</v>
      </c>
      <c r="D628" s="42"/>
      <c r="E628" s="44"/>
      <c r="F628" s="44"/>
      <c r="G628" s="35"/>
      <c r="H628" t="s">
        <v>38</v>
      </c>
      <c r="I628" t="s">
        <v>38</v>
      </c>
      <c r="J628" t="s">
        <v>38</v>
      </c>
      <c r="K628" t="s">
        <v>38</v>
      </c>
      <c r="L628" t="s">
        <v>38</v>
      </c>
    </row>
    <row r="629" spans="1:16">
      <c r="B629" s="40" t="s">
        <v>38</v>
      </c>
      <c r="C629" s="41">
        <v>1</v>
      </c>
      <c r="D629" s="42"/>
      <c r="E629" s="44"/>
      <c r="F629" s="44"/>
      <c r="G629" s="35"/>
      <c r="H629" t="s">
        <v>38</v>
      </c>
      <c r="I629" t="s">
        <v>38</v>
      </c>
      <c r="J629" t="s">
        <v>38</v>
      </c>
      <c r="K629" t="s">
        <v>38</v>
      </c>
      <c r="L629" t="s">
        <v>38</v>
      </c>
    </row>
    <row r="630" spans="1:16">
      <c r="B630" s="40" t="s">
        <v>38</v>
      </c>
      <c r="C630" s="41">
        <v>1</v>
      </c>
      <c r="D630" s="42"/>
      <c r="E630" s="44"/>
      <c r="F630" s="44"/>
      <c r="G630" s="35"/>
      <c r="H630" t="s">
        <v>38</v>
      </c>
      <c r="I630" t="s">
        <v>38</v>
      </c>
      <c r="J630" t="s">
        <v>38</v>
      </c>
      <c r="K630" t="s">
        <v>38</v>
      </c>
      <c r="L630" t="s">
        <v>38</v>
      </c>
    </row>
    <row r="631" spans="1:16">
      <c r="B631" s="40" t="s">
        <v>38</v>
      </c>
      <c r="C631" s="41">
        <v>1</v>
      </c>
      <c r="D631" s="42"/>
      <c r="E631" s="44"/>
      <c r="F631" s="44"/>
      <c r="G631" s="35"/>
      <c r="H631" t="s">
        <v>38</v>
      </c>
      <c r="I631" t="s">
        <v>38</v>
      </c>
      <c r="J631" t="s">
        <v>38</v>
      </c>
      <c r="K631" t="s">
        <v>38</v>
      </c>
      <c r="L631" t="s">
        <v>38</v>
      </c>
    </row>
    <row r="632" spans="1:16">
      <c r="B632" s="40" t="s">
        <v>38</v>
      </c>
      <c r="C632" s="41">
        <v>1</v>
      </c>
      <c r="D632" s="42"/>
      <c r="E632" s="44"/>
      <c r="F632" s="44"/>
      <c r="G632" s="35"/>
      <c r="H632" t="s">
        <v>38</v>
      </c>
      <c r="I632" t="s">
        <v>38</v>
      </c>
      <c r="J632" t="s">
        <v>38</v>
      </c>
      <c r="K632" t="s">
        <v>38</v>
      </c>
      <c r="L632" t="s">
        <v>38</v>
      </c>
    </row>
    <row r="633" spans="1:16">
      <c r="B633" s="40" t="s">
        <v>38</v>
      </c>
      <c r="C633" s="41">
        <v>1</v>
      </c>
      <c r="D633" s="42"/>
      <c r="E633" s="44"/>
      <c r="F633" s="44"/>
      <c r="G633" s="35"/>
      <c r="H633" t="s">
        <v>38</v>
      </c>
      <c r="I633" t="s">
        <v>38</v>
      </c>
      <c r="J633" t="s">
        <v>38</v>
      </c>
      <c r="K633" t="s">
        <v>38</v>
      </c>
      <c r="L633" t="s">
        <v>38</v>
      </c>
    </row>
    <row r="634" spans="1:16">
      <c r="B634" s="40" t="s">
        <v>38</v>
      </c>
      <c r="C634" s="41">
        <v>1</v>
      </c>
      <c r="D634" s="42"/>
      <c r="E634" s="44"/>
      <c r="F634" s="44"/>
      <c r="G634" s="35"/>
      <c r="H634" t="s">
        <v>38</v>
      </c>
      <c r="I634" t="s">
        <v>38</v>
      </c>
      <c r="J634" t="s">
        <v>38</v>
      </c>
      <c r="K634" t="s">
        <v>38</v>
      </c>
      <c r="L634" t="s">
        <v>38</v>
      </c>
    </row>
    <row r="635" spans="1:16">
      <c r="B635" s="45" t="s">
        <v>38</v>
      </c>
      <c r="C635" s="41">
        <v>1</v>
      </c>
      <c r="D635" s="42"/>
      <c r="E635" s="44"/>
      <c r="F635" s="44"/>
      <c r="G635" s="35"/>
      <c r="H635" t="s">
        <v>38</v>
      </c>
      <c r="I635" t="s">
        <v>38</v>
      </c>
      <c r="J635" t="s">
        <v>38</v>
      </c>
      <c r="K635" t="s">
        <v>38</v>
      </c>
      <c r="L635" t="s">
        <v>38</v>
      </c>
    </row>
    <row r="636" spans="1:16">
      <c r="B636" s="45" t="s">
        <v>38</v>
      </c>
      <c r="C636" s="41">
        <v>1</v>
      </c>
      <c r="D636" s="42"/>
      <c r="E636" s="44"/>
      <c r="F636" s="44"/>
      <c r="G636" s="35"/>
      <c r="H636" t="s">
        <v>38</v>
      </c>
      <c r="I636" t="s">
        <v>38</v>
      </c>
      <c r="J636" t="s">
        <v>38</v>
      </c>
      <c r="K636" t="s">
        <v>38</v>
      </c>
      <c r="L636" t="s">
        <v>38</v>
      </c>
    </row>
    <row r="637" spans="1:16">
      <c r="B637" s="45" t="s">
        <v>38</v>
      </c>
      <c r="C637" s="41">
        <v>1</v>
      </c>
      <c r="D637" s="42"/>
      <c r="E637" s="44"/>
      <c r="F637" s="44"/>
      <c r="G637" s="35"/>
      <c r="H637" t="s">
        <v>38</v>
      </c>
      <c r="I637" t="s">
        <v>38</v>
      </c>
      <c r="J637" t="s">
        <v>38</v>
      </c>
      <c r="K637" t="s">
        <v>38</v>
      </c>
      <c r="L637" t="s">
        <v>38</v>
      </c>
    </row>
    <row r="638" ht="15.15" spans="1:16">
      <c r="B638" s="45" t="s">
        <v>38</v>
      </c>
      <c r="C638" s="41">
        <v>1</v>
      </c>
      <c r="D638" s="46"/>
      <c r="E638" s="47"/>
      <c r="F638" s="47"/>
      <c r="G638" s="38"/>
      <c r="H638" t="s">
        <v>38</v>
      </c>
      <c r="I638" t="s">
        <v>38</v>
      </c>
      <c r="J638" t="s">
        <v>38</v>
      </c>
      <c r="K638" t="s">
        <v>38</v>
      </c>
      <c r="L638" t="s">
        <v>38</v>
      </c>
    </row>
    <row r="640" spans="1:16">
      <c r="A640" t="s">
        <v>103</v>
      </c>
      <c r="B640" s="48" t="s">
        <v>220</v>
      </c>
      <c r="C640" s="32">
        <v>1</v>
      </c>
      <c r="D640" s="49"/>
      <c r="E640" s="44">
        <v>0</v>
      </c>
      <c r="F640" s="44"/>
      <c r="G640" s="35"/>
      <c r="H640" t="s">
        <v>322</v>
      </c>
      <c r="I640" t="s">
        <v>38</v>
      </c>
      <c r="J640" t="s">
        <v>38</v>
      </c>
      <c r="K640" t="s">
        <v>38</v>
      </c>
      <c r="L640" t="s">
        <v>38</v>
      </c>
      <c r="M640" t="s">
        <v>343</v>
      </c>
      <c r="O640">
        <v>40</v>
      </c>
      <c r="P640">
        <v>46248.62</v>
      </c>
    </row>
    <row r="641" spans="2:13">
      <c r="B641" s="42" t="s">
        <v>221</v>
      </c>
      <c r="C641" s="35">
        <v>1</v>
      </c>
      <c r="D641" s="49"/>
      <c r="E641" s="15">
        <v>1</v>
      </c>
      <c r="F641" s="44"/>
      <c r="G641" s="35"/>
      <c r="H641" t="s">
        <v>344</v>
      </c>
      <c r="I641" t="s">
        <v>322</v>
      </c>
      <c r="J641" t="s">
        <v>38</v>
      </c>
      <c r="K641" t="s">
        <v>38</v>
      </c>
      <c r="L641" t="s">
        <v>38</v>
      </c>
      <c r="M641" t="s">
        <v>345</v>
      </c>
    </row>
    <row r="642" spans="2:13">
      <c r="B642" s="42" t="s">
        <v>223</v>
      </c>
      <c r="C642" s="35">
        <v>1</v>
      </c>
      <c r="D642" s="49"/>
      <c r="E642" s="15">
        <v>2</v>
      </c>
      <c r="F642" s="44"/>
      <c r="G642" s="35"/>
      <c r="H642" t="s">
        <v>346</v>
      </c>
      <c r="I642" t="s">
        <v>337</v>
      </c>
      <c r="J642" t="s">
        <v>347</v>
      </c>
      <c r="K642" t="s">
        <v>38</v>
      </c>
      <c r="L642" t="s">
        <v>38</v>
      </c>
      <c r="M642" t="s">
        <v>348</v>
      </c>
    </row>
    <row r="643" spans="2:13">
      <c r="B643" s="42" t="s">
        <v>155</v>
      </c>
      <c r="C643" s="35">
        <v>1</v>
      </c>
      <c r="D643" s="49"/>
      <c r="E643" s="15">
        <v>1</v>
      </c>
      <c r="F643" s="44"/>
      <c r="G643" s="35"/>
      <c r="H643" t="s">
        <v>38</v>
      </c>
      <c r="I643" t="s">
        <v>322</v>
      </c>
      <c r="J643" t="s">
        <v>38</v>
      </c>
      <c r="K643" t="s">
        <v>38</v>
      </c>
      <c r="L643" t="s">
        <v>38</v>
      </c>
    </row>
    <row r="644" spans="2:13">
      <c r="B644" s="42" t="s">
        <v>155</v>
      </c>
      <c r="C644" s="35">
        <v>1</v>
      </c>
      <c r="D644" s="49"/>
      <c r="E644" s="15">
        <v>2</v>
      </c>
      <c r="F644" s="44"/>
      <c r="G644" s="35"/>
      <c r="H644" t="s">
        <v>346</v>
      </c>
      <c r="I644" t="s">
        <v>337</v>
      </c>
      <c r="J644" t="s">
        <v>347</v>
      </c>
      <c r="K644" t="s">
        <v>38</v>
      </c>
      <c r="L644" t="s">
        <v>38</v>
      </c>
    </row>
    <row r="645" spans="2:13">
      <c r="B645" s="42" t="s">
        <v>224</v>
      </c>
      <c r="C645" s="35">
        <v>1</v>
      </c>
      <c r="D645" s="49"/>
      <c r="E645" s="15">
        <v>2</v>
      </c>
      <c r="F645" s="44"/>
      <c r="G645" s="35"/>
      <c r="H645" t="s">
        <v>38</v>
      </c>
      <c r="I645" t="s">
        <v>38</v>
      </c>
      <c r="J645" t="s">
        <v>38</v>
      </c>
      <c r="K645" t="s">
        <v>38</v>
      </c>
      <c r="L645" t="s">
        <v>38</v>
      </c>
    </row>
    <row r="646" spans="2:13">
      <c r="B646" s="42" t="s">
        <v>225</v>
      </c>
      <c r="C646" s="35">
        <v>1</v>
      </c>
      <c r="D646" s="49"/>
      <c r="E646" s="15">
        <v>2</v>
      </c>
      <c r="F646" s="44"/>
      <c r="G646" s="35"/>
      <c r="H646" t="s">
        <v>38</v>
      </c>
      <c r="I646" t="s">
        <v>337</v>
      </c>
      <c r="J646" t="s">
        <v>347</v>
      </c>
      <c r="K646" t="s">
        <v>38</v>
      </c>
      <c r="L646" t="s">
        <v>38</v>
      </c>
      <c r="M646" t="s">
        <v>349</v>
      </c>
    </row>
    <row r="647" spans="2:13">
      <c r="B647" s="42" t="s">
        <v>227</v>
      </c>
      <c r="C647" s="35">
        <v>2</v>
      </c>
      <c r="D647" s="49"/>
      <c r="E647" s="15">
        <v>2</v>
      </c>
      <c r="F647" s="44"/>
      <c r="G647" s="35"/>
      <c r="H647" t="s">
        <v>38</v>
      </c>
      <c r="I647" t="s">
        <v>38</v>
      </c>
      <c r="J647" t="s">
        <v>347</v>
      </c>
      <c r="K647" t="s">
        <v>337</v>
      </c>
      <c r="L647" t="s">
        <v>38</v>
      </c>
    </row>
    <row r="648" spans="2:13">
      <c r="B648" s="42" t="s">
        <v>225</v>
      </c>
      <c r="C648" s="35">
        <v>1</v>
      </c>
      <c r="D648" s="49"/>
      <c r="E648" s="15">
        <v>2</v>
      </c>
      <c r="F648" s="44"/>
      <c r="G648" s="35"/>
      <c r="H648" t="s">
        <v>350</v>
      </c>
      <c r="I648" t="s">
        <v>351</v>
      </c>
      <c r="J648" t="s">
        <v>347</v>
      </c>
      <c r="K648" t="s">
        <v>337</v>
      </c>
      <c r="L648" t="s">
        <v>38</v>
      </c>
      <c r="M648" t="s">
        <v>349</v>
      </c>
    </row>
    <row r="649" spans="2:13">
      <c r="B649" s="42" t="s">
        <v>227</v>
      </c>
      <c r="C649" s="35">
        <v>2</v>
      </c>
      <c r="D649" s="49"/>
      <c r="E649" s="15">
        <v>3</v>
      </c>
      <c r="F649" s="44"/>
      <c r="G649" s="35"/>
      <c r="H649" t="s">
        <v>352</v>
      </c>
      <c r="I649" t="s">
        <v>38</v>
      </c>
      <c r="J649" t="s">
        <v>347</v>
      </c>
      <c r="K649" t="s">
        <v>337</v>
      </c>
      <c r="L649" t="s">
        <v>38</v>
      </c>
    </row>
    <row r="650" spans="2:13">
      <c r="B650" s="42" t="s">
        <v>225</v>
      </c>
      <c r="C650" s="35">
        <v>1</v>
      </c>
      <c r="D650" s="49"/>
      <c r="E650" s="15">
        <v>3</v>
      </c>
      <c r="F650" s="44"/>
      <c r="G650" s="35"/>
      <c r="H650" t="s">
        <v>352</v>
      </c>
      <c r="I650" t="s">
        <v>353</v>
      </c>
      <c r="J650" t="s">
        <v>347</v>
      </c>
      <c r="K650" t="s">
        <v>337</v>
      </c>
      <c r="L650" t="s">
        <v>38</v>
      </c>
      <c r="M650" t="s">
        <v>349</v>
      </c>
    </row>
    <row r="651" spans="2:13">
      <c r="B651" s="42" t="s">
        <v>155</v>
      </c>
      <c r="C651" s="35">
        <v>1</v>
      </c>
      <c r="D651" s="49"/>
      <c r="E651" s="15">
        <v>3</v>
      </c>
      <c r="F651" s="44"/>
      <c r="G651" s="35"/>
      <c r="H651" t="s">
        <v>354</v>
      </c>
      <c r="I651" t="s">
        <v>38</v>
      </c>
      <c r="J651" t="s">
        <v>347</v>
      </c>
      <c r="K651" t="s">
        <v>337</v>
      </c>
      <c r="L651" t="s">
        <v>38</v>
      </c>
    </row>
    <row r="652" spans="2:13">
      <c r="B652" s="42" t="s">
        <v>227</v>
      </c>
      <c r="C652" s="35">
        <v>2</v>
      </c>
      <c r="D652" s="49"/>
      <c r="E652" s="15">
        <v>3</v>
      </c>
      <c r="F652" s="44"/>
      <c r="G652" s="35"/>
      <c r="H652" t="s">
        <v>354</v>
      </c>
      <c r="I652" t="s">
        <v>38</v>
      </c>
      <c r="J652" t="s">
        <v>347</v>
      </c>
      <c r="K652" t="s">
        <v>337</v>
      </c>
      <c r="L652" t="s">
        <v>38</v>
      </c>
    </row>
    <row r="653" spans="2:13">
      <c r="B653" s="42" t="s">
        <v>225</v>
      </c>
      <c r="C653" s="35">
        <v>1</v>
      </c>
      <c r="D653" s="49"/>
      <c r="E653" s="15">
        <v>4</v>
      </c>
      <c r="F653" s="44"/>
      <c r="G653" s="35"/>
      <c r="H653" t="s">
        <v>354</v>
      </c>
      <c r="I653" t="s">
        <v>355</v>
      </c>
      <c r="J653" t="s">
        <v>347</v>
      </c>
      <c r="K653" t="s">
        <v>337</v>
      </c>
      <c r="L653" t="s">
        <v>356</v>
      </c>
      <c r="M653" t="s">
        <v>349</v>
      </c>
    </row>
    <row r="654" spans="2:13">
      <c r="B654" s="42" t="s">
        <v>227</v>
      </c>
      <c r="C654" s="35">
        <v>2</v>
      </c>
      <c r="D654" s="49"/>
      <c r="E654" s="15">
        <v>4</v>
      </c>
      <c r="F654" s="44"/>
      <c r="G654" s="35"/>
      <c r="H654" t="s">
        <v>354</v>
      </c>
      <c r="I654" t="s">
        <v>38</v>
      </c>
      <c r="J654" t="s">
        <v>347</v>
      </c>
      <c r="K654" t="s">
        <v>337</v>
      </c>
      <c r="L654" t="s">
        <v>38</v>
      </c>
    </row>
    <row r="655" spans="2:13">
      <c r="B655" s="42" t="s">
        <v>225</v>
      </c>
      <c r="C655" s="35">
        <v>1</v>
      </c>
      <c r="D655" s="49"/>
      <c r="E655" s="15">
        <v>4</v>
      </c>
      <c r="F655" s="44"/>
      <c r="G655" s="35"/>
      <c r="H655" t="s">
        <v>354</v>
      </c>
      <c r="I655" t="s">
        <v>355</v>
      </c>
      <c r="J655" t="s">
        <v>347</v>
      </c>
      <c r="K655" t="s">
        <v>337</v>
      </c>
      <c r="L655" t="s">
        <v>38</v>
      </c>
      <c r="M655" t="s">
        <v>349</v>
      </c>
    </row>
    <row r="656" spans="2:13">
      <c r="B656" s="42" t="s">
        <v>227</v>
      </c>
      <c r="C656" s="35">
        <v>2</v>
      </c>
      <c r="D656" s="49"/>
      <c r="E656" s="15">
        <v>4</v>
      </c>
      <c r="F656" s="44"/>
      <c r="G656" s="35"/>
      <c r="H656" t="s">
        <v>354</v>
      </c>
      <c r="I656" t="s">
        <v>38</v>
      </c>
      <c r="J656" t="s">
        <v>347</v>
      </c>
      <c r="K656" t="s">
        <v>337</v>
      </c>
      <c r="L656" t="s">
        <v>38</v>
      </c>
    </row>
    <row r="657" spans="2:13">
      <c r="B657" s="42" t="s">
        <v>225</v>
      </c>
      <c r="C657" s="35">
        <v>1</v>
      </c>
      <c r="D657" s="49"/>
      <c r="E657" s="15">
        <v>4</v>
      </c>
      <c r="F657" s="44"/>
      <c r="G657" s="35"/>
      <c r="H657" t="s">
        <v>354</v>
      </c>
      <c r="I657" t="s">
        <v>355</v>
      </c>
      <c r="J657" t="s">
        <v>347</v>
      </c>
      <c r="K657" t="s">
        <v>337</v>
      </c>
      <c r="L657" t="s">
        <v>38</v>
      </c>
      <c r="M657" t="s">
        <v>349</v>
      </c>
    </row>
    <row r="658" spans="2:13">
      <c r="B658" s="42" t="s">
        <v>227</v>
      </c>
      <c r="C658" s="35">
        <v>2</v>
      </c>
      <c r="D658" s="49"/>
      <c r="E658" s="15">
        <v>5</v>
      </c>
      <c r="F658" s="44"/>
      <c r="G658" s="35"/>
      <c r="H658" t="s">
        <v>354</v>
      </c>
      <c r="I658" t="s">
        <v>38</v>
      </c>
      <c r="J658" t="s">
        <v>347</v>
      </c>
      <c r="K658" t="s">
        <v>337</v>
      </c>
      <c r="L658" t="s">
        <v>38</v>
      </c>
    </row>
    <row r="659" spans="2:13">
      <c r="B659" s="42" t="s">
        <v>133</v>
      </c>
      <c r="C659" s="50">
        <v>1</v>
      </c>
      <c r="D659" s="49"/>
      <c r="E659" s="15">
        <v>5</v>
      </c>
      <c r="F659" s="44"/>
      <c r="G659" s="35"/>
      <c r="H659" t="s">
        <v>354</v>
      </c>
      <c r="I659" t="s">
        <v>38</v>
      </c>
      <c r="J659" t="s">
        <v>347</v>
      </c>
      <c r="K659" t="s">
        <v>337</v>
      </c>
      <c r="L659" t="s">
        <v>38</v>
      </c>
    </row>
    <row r="660" spans="2:13">
      <c r="B660" s="42" t="s">
        <v>155</v>
      </c>
      <c r="C660" s="35">
        <v>1</v>
      </c>
      <c r="D660" s="49"/>
      <c r="E660" s="15">
        <v>5</v>
      </c>
      <c r="F660" s="44"/>
      <c r="G660" s="35"/>
      <c r="H660" t="s">
        <v>354</v>
      </c>
      <c r="I660" t="s">
        <v>38</v>
      </c>
      <c r="J660" t="s">
        <v>347</v>
      </c>
      <c r="K660" t="s">
        <v>337</v>
      </c>
      <c r="L660" t="s">
        <v>38</v>
      </c>
    </row>
    <row r="661" spans="2:13">
      <c r="B661" s="42" t="s">
        <v>225</v>
      </c>
      <c r="C661" s="35">
        <v>1</v>
      </c>
      <c r="D661" s="49"/>
      <c r="E661" s="15">
        <v>5</v>
      </c>
      <c r="F661" s="44"/>
      <c r="G661" s="35"/>
      <c r="H661" t="s">
        <v>354</v>
      </c>
      <c r="I661" t="s">
        <v>355</v>
      </c>
      <c r="J661" t="s">
        <v>347</v>
      </c>
      <c r="K661" t="s">
        <v>337</v>
      </c>
      <c r="L661" t="s">
        <v>356</v>
      </c>
      <c r="M661" t="s">
        <v>349</v>
      </c>
    </row>
    <row r="662" spans="2:13">
      <c r="B662" s="42" t="s">
        <v>227</v>
      </c>
      <c r="C662" s="35">
        <v>2</v>
      </c>
      <c r="D662" s="49"/>
      <c r="E662" s="15">
        <v>5</v>
      </c>
      <c r="F662" s="44"/>
      <c r="G662" s="35"/>
      <c r="H662" t="s">
        <v>354</v>
      </c>
      <c r="I662" t="s">
        <v>38</v>
      </c>
      <c r="J662" t="s">
        <v>347</v>
      </c>
      <c r="K662" t="s">
        <v>337</v>
      </c>
      <c r="L662" t="s">
        <v>38</v>
      </c>
    </row>
    <row r="663" spans="2:13">
      <c r="B663" s="42" t="s">
        <v>225</v>
      </c>
      <c r="C663" s="35">
        <v>2</v>
      </c>
      <c r="D663" s="49"/>
      <c r="E663" s="15">
        <v>5</v>
      </c>
      <c r="F663" s="44"/>
      <c r="G663" s="35"/>
      <c r="H663" t="s">
        <v>354</v>
      </c>
      <c r="I663" t="s">
        <v>355</v>
      </c>
      <c r="J663" t="s">
        <v>347</v>
      </c>
      <c r="K663" t="s">
        <v>337</v>
      </c>
      <c r="L663" t="s">
        <v>38</v>
      </c>
      <c r="M663" t="s">
        <v>349</v>
      </c>
    </row>
    <row r="664" spans="2:13">
      <c r="B664" s="42" t="s">
        <v>227</v>
      </c>
      <c r="C664" s="35">
        <v>4</v>
      </c>
      <c r="D664" s="49"/>
      <c r="E664" s="15">
        <v>5</v>
      </c>
      <c r="F664" s="44"/>
      <c r="G664" s="35"/>
      <c r="H664" t="s">
        <v>354</v>
      </c>
      <c r="I664" t="s">
        <v>38</v>
      </c>
      <c r="J664" t="s">
        <v>347</v>
      </c>
      <c r="K664" t="s">
        <v>337</v>
      </c>
      <c r="L664" t="s">
        <v>38</v>
      </c>
    </row>
    <row r="665" spans="2:13">
      <c r="B665" s="42" t="s">
        <v>155</v>
      </c>
      <c r="C665" s="35">
        <v>1</v>
      </c>
      <c r="D665" s="49"/>
      <c r="E665" s="15">
        <v>5</v>
      </c>
      <c r="F665" s="44"/>
      <c r="G665" s="35"/>
      <c r="H665" t="s">
        <v>354</v>
      </c>
      <c r="I665" t="s">
        <v>38</v>
      </c>
      <c r="J665" t="s">
        <v>347</v>
      </c>
      <c r="K665" t="s">
        <v>337</v>
      </c>
      <c r="L665" t="s">
        <v>38</v>
      </c>
    </row>
    <row r="666" spans="2:13">
      <c r="B666" s="42" t="s">
        <v>225</v>
      </c>
      <c r="C666" s="35">
        <v>1</v>
      </c>
      <c r="D666" s="49"/>
      <c r="E666" s="15">
        <v>5</v>
      </c>
      <c r="F666" s="44"/>
      <c r="G666" s="35"/>
      <c r="H666" t="s">
        <v>354</v>
      </c>
      <c r="I666" t="s">
        <v>355</v>
      </c>
      <c r="J666" t="s">
        <v>347</v>
      </c>
      <c r="K666" t="s">
        <v>337</v>
      </c>
      <c r="L666" t="s">
        <v>356</v>
      </c>
      <c r="M666" t="s">
        <v>349</v>
      </c>
    </row>
    <row r="667" spans="2:13">
      <c r="B667" s="42" t="s">
        <v>227</v>
      </c>
      <c r="C667" s="35">
        <v>2</v>
      </c>
      <c r="D667" s="49"/>
      <c r="E667" s="15">
        <v>5</v>
      </c>
      <c r="F667" s="44"/>
      <c r="G667" s="35"/>
      <c r="H667" t="s">
        <v>354</v>
      </c>
      <c r="I667" t="s">
        <v>38</v>
      </c>
      <c r="J667" t="s">
        <v>347</v>
      </c>
      <c r="K667" t="s">
        <v>337</v>
      </c>
      <c r="L667" t="s">
        <v>38</v>
      </c>
    </row>
    <row r="668" spans="2:13">
      <c r="B668" s="42" t="s">
        <v>225</v>
      </c>
      <c r="C668" s="35">
        <v>1</v>
      </c>
      <c r="D668" s="49"/>
      <c r="E668" s="15">
        <v>5</v>
      </c>
      <c r="F668" s="44"/>
      <c r="G668" s="35"/>
      <c r="H668" t="s">
        <v>354</v>
      </c>
      <c r="I668" t="s">
        <v>355</v>
      </c>
      <c r="J668" t="s">
        <v>347</v>
      </c>
      <c r="K668" t="s">
        <v>337</v>
      </c>
      <c r="L668" t="s">
        <v>38</v>
      </c>
      <c r="M668" t="s">
        <v>349</v>
      </c>
    </row>
    <row r="669" spans="2:13">
      <c r="B669" s="42" t="s">
        <v>227</v>
      </c>
      <c r="C669" s="35">
        <v>2</v>
      </c>
      <c r="D669" s="49"/>
      <c r="E669" s="15">
        <v>5</v>
      </c>
      <c r="F669" s="44"/>
      <c r="G669" s="35"/>
      <c r="H669" t="s">
        <v>354</v>
      </c>
      <c r="I669" t="s">
        <v>38</v>
      </c>
      <c r="J669" t="s">
        <v>347</v>
      </c>
      <c r="K669" t="s">
        <v>337</v>
      </c>
      <c r="L669" t="s">
        <v>38</v>
      </c>
    </row>
    <row r="670" spans="2:13">
      <c r="B670" s="42" t="s">
        <v>225</v>
      </c>
      <c r="C670" s="35">
        <v>1</v>
      </c>
      <c r="D670" s="49"/>
      <c r="E670" s="15">
        <v>5</v>
      </c>
      <c r="F670" s="44"/>
      <c r="G670" s="35"/>
      <c r="H670" t="s">
        <v>354</v>
      </c>
      <c r="I670" t="s">
        <v>355</v>
      </c>
      <c r="J670" t="s">
        <v>347</v>
      </c>
      <c r="K670" t="s">
        <v>337</v>
      </c>
      <c r="L670" t="s">
        <v>38</v>
      </c>
      <c r="M670" t="s">
        <v>349</v>
      </c>
    </row>
    <row r="671" spans="2:13">
      <c r="B671" s="42" t="s">
        <v>227</v>
      </c>
      <c r="C671" s="35">
        <v>2</v>
      </c>
      <c r="D671" s="49"/>
      <c r="E671" s="15">
        <v>5</v>
      </c>
      <c r="F671" s="44"/>
      <c r="G671" s="35"/>
      <c r="H671" t="s">
        <v>354</v>
      </c>
      <c r="I671" t="s">
        <v>38</v>
      </c>
      <c r="J671" t="s">
        <v>347</v>
      </c>
      <c r="K671" t="s">
        <v>337</v>
      </c>
      <c r="L671" t="s">
        <v>38</v>
      </c>
    </row>
    <row r="672" spans="2:13">
      <c r="B672" s="42" t="s">
        <v>225</v>
      </c>
      <c r="C672" s="35">
        <v>1</v>
      </c>
      <c r="D672" s="49"/>
      <c r="E672" s="15">
        <v>5</v>
      </c>
      <c r="F672" s="44"/>
      <c r="G672" s="35"/>
      <c r="H672" t="s">
        <v>354</v>
      </c>
      <c r="I672" t="s">
        <v>355</v>
      </c>
      <c r="J672" t="s">
        <v>347</v>
      </c>
      <c r="K672" t="s">
        <v>38</v>
      </c>
      <c r="L672" t="s">
        <v>356</v>
      </c>
      <c r="M672" t="s">
        <v>349</v>
      </c>
    </row>
    <row r="673" spans="2:13">
      <c r="B673" s="42" t="s">
        <v>227</v>
      </c>
      <c r="C673" s="35">
        <v>1</v>
      </c>
      <c r="D673" s="49"/>
      <c r="E673" s="15">
        <v>5</v>
      </c>
      <c r="F673" s="44"/>
      <c r="G673" s="35"/>
      <c r="H673" t="s">
        <v>354</v>
      </c>
      <c r="I673" t="s">
        <v>38</v>
      </c>
      <c r="J673" t="s">
        <v>347</v>
      </c>
      <c r="K673" t="s">
        <v>38</v>
      </c>
      <c r="L673" t="s">
        <v>38</v>
      </c>
    </row>
    <row r="674" spans="2:13">
      <c r="B674" s="42" t="s">
        <v>139</v>
      </c>
      <c r="C674" s="35">
        <v>1</v>
      </c>
      <c r="D674" s="49"/>
      <c r="E674" s="15">
        <v>5</v>
      </c>
      <c r="F674" s="44"/>
      <c r="G674" s="35"/>
      <c r="H674" t="s">
        <v>354</v>
      </c>
      <c r="I674" t="s">
        <v>38</v>
      </c>
      <c r="J674" t="s">
        <v>347</v>
      </c>
      <c r="K674" t="s">
        <v>38</v>
      </c>
      <c r="L674" t="s">
        <v>38</v>
      </c>
    </row>
    <row r="675" spans="2:13">
      <c r="B675" s="42" t="s">
        <v>133</v>
      </c>
      <c r="C675" s="50">
        <v>1</v>
      </c>
      <c r="D675" s="49"/>
      <c r="E675" s="15">
        <v>5</v>
      </c>
      <c r="F675" s="44"/>
      <c r="G675" s="35"/>
      <c r="H675" t="s">
        <v>354</v>
      </c>
      <c r="I675" t="s">
        <v>38</v>
      </c>
      <c r="J675" t="s">
        <v>347</v>
      </c>
      <c r="K675" t="s">
        <v>38</v>
      </c>
      <c r="L675" t="s">
        <v>38</v>
      </c>
    </row>
    <row r="676" spans="2:13">
      <c r="B676" s="42" t="s">
        <v>219</v>
      </c>
      <c r="C676" s="35">
        <v>1</v>
      </c>
      <c r="D676" s="49"/>
      <c r="E676" s="15">
        <v>5</v>
      </c>
      <c r="F676" s="44"/>
      <c r="G676" s="35"/>
      <c r="H676" t="s">
        <v>354</v>
      </c>
      <c r="I676" t="s">
        <v>355</v>
      </c>
      <c r="J676" t="s">
        <v>347</v>
      </c>
      <c r="K676" t="s">
        <v>38</v>
      </c>
      <c r="L676" t="s">
        <v>38</v>
      </c>
      <c r="M676" t="s">
        <v>357</v>
      </c>
    </row>
    <row r="677" spans="2:13">
      <c r="B677" s="42" t="s">
        <v>220</v>
      </c>
      <c r="C677" s="35">
        <v>1</v>
      </c>
      <c r="D677" s="49"/>
      <c r="E677" s="15">
        <v>5</v>
      </c>
      <c r="F677" s="44"/>
      <c r="G677" s="35"/>
      <c r="H677" t="s">
        <v>354</v>
      </c>
      <c r="I677" t="s">
        <v>38</v>
      </c>
      <c r="J677" t="s">
        <v>347</v>
      </c>
      <c r="K677" t="s">
        <v>38</v>
      </c>
      <c r="L677" t="s">
        <v>38</v>
      </c>
      <c r="M677" t="s">
        <v>343</v>
      </c>
    </row>
    <row r="678" spans="2:13">
      <c r="B678" s="42" t="s">
        <v>221</v>
      </c>
      <c r="C678" s="35">
        <v>1</v>
      </c>
      <c r="D678" s="49"/>
      <c r="E678" s="15">
        <v>5</v>
      </c>
      <c r="F678" s="44"/>
      <c r="G678" s="35"/>
      <c r="H678" t="s">
        <v>354</v>
      </c>
      <c r="I678" t="s">
        <v>38</v>
      </c>
      <c r="J678" t="s">
        <v>347</v>
      </c>
      <c r="K678" t="s">
        <v>38</v>
      </c>
      <c r="L678" t="s">
        <v>38</v>
      </c>
      <c r="M678" t="s">
        <v>345</v>
      </c>
    </row>
    <row r="679" spans="2:13">
      <c r="B679" s="42" t="s">
        <v>222</v>
      </c>
      <c r="C679" s="35">
        <v>1</v>
      </c>
      <c r="D679" s="49"/>
      <c r="E679" s="15">
        <v>5</v>
      </c>
      <c r="F679" s="44"/>
      <c r="G679" s="35"/>
      <c r="H679" t="s">
        <v>38</v>
      </c>
      <c r="I679" t="s">
        <v>38</v>
      </c>
      <c r="J679" t="s">
        <v>347</v>
      </c>
      <c r="K679" t="s">
        <v>38</v>
      </c>
      <c r="L679" t="s">
        <v>38</v>
      </c>
      <c r="M679" t="s">
        <v>348</v>
      </c>
    </row>
    <row r="680" spans="2:13">
      <c r="B680" s="42" t="s">
        <v>223</v>
      </c>
      <c r="C680" s="35">
        <v>1</v>
      </c>
      <c r="D680" s="49"/>
      <c r="E680" s="15">
        <v>5</v>
      </c>
      <c r="F680" s="44"/>
      <c r="G680" s="35"/>
      <c r="H680" t="s">
        <v>38</v>
      </c>
      <c r="I680" t="s">
        <v>38</v>
      </c>
      <c r="J680" t="s">
        <v>347</v>
      </c>
      <c r="K680" t="s">
        <v>38</v>
      </c>
      <c r="L680" t="s">
        <v>38</v>
      </c>
      <c r="M680" t="s">
        <v>348</v>
      </c>
    </row>
    <row r="681" spans="2:13">
      <c r="B681" s="42" t="s">
        <v>224</v>
      </c>
      <c r="C681" s="35">
        <v>1</v>
      </c>
      <c r="D681" s="49"/>
      <c r="E681" s="15">
        <v>5</v>
      </c>
      <c r="F681" s="44"/>
      <c r="G681" s="35"/>
      <c r="H681" t="s">
        <v>38</v>
      </c>
      <c r="I681" t="s">
        <v>38</v>
      </c>
      <c r="J681" t="s">
        <v>38</v>
      </c>
      <c r="K681" t="s">
        <v>38</v>
      </c>
      <c r="L681" t="s">
        <v>38</v>
      </c>
    </row>
    <row r="682" spans="2:13">
      <c r="B682" s="42" t="s">
        <v>154</v>
      </c>
      <c r="C682" s="35">
        <v>1</v>
      </c>
      <c r="D682" s="49"/>
      <c r="E682" s="15">
        <v>5</v>
      </c>
      <c r="F682" s="44"/>
      <c r="G682" s="35"/>
      <c r="H682" t="s">
        <v>38</v>
      </c>
      <c r="I682" t="s">
        <v>337</v>
      </c>
      <c r="J682" t="s">
        <v>347</v>
      </c>
      <c r="K682" t="s">
        <v>38</v>
      </c>
      <c r="L682" t="s">
        <v>38</v>
      </c>
    </row>
    <row r="683" spans="2:13">
      <c r="B683" s="42" t="s">
        <v>225</v>
      </c>
      <c r="C683" s="35">
        <v>1</v>
      </c>
      <c r="D683" s="49"/>
      <c r="E683" s="15">
        <v>5</v>
      </c>
      <c r="F683" s="44"/>
      <c r="G683" s="35">
        <v>1</v>
      </c>
      <c r="H683" t="s">
        <v>38</v>
      </c>
      <c r="I683" t="s">
        <v>355</v>
      </c>
      <c r="J683" t="s">
        <v>347</v>
      </c>
      <c r="K683" t="s">
        <v>337</v>
      </c>
      <c r="L683" t="s">
        <v>38</v>
      </c>
      <c r="M683" t="s">
        <v>349</v>
      </c>
    </row>
    <row r="684" spans="2:13">
      <c r="B684" s="42" t="s">
        <v>227</v>
      </c>
      <c r="C684" s="35">
        <v>2</v>
      </c>
      <c r="D684" s="49"/>
      <c r="E684" s="15">
        <v>5</v>
      </c>
      <c r="F684" s="44"/>
      <c r="G684" s="35">
        <v>1</v>
      </c>
      <c r="H684" t="s">
        <v>38</v>
      </c>
      <c r="I684" t="s">
        <v>38</v>
      </c>
      <c r="J684" t="s">
        <v>347</v>
      </c>
      <c r="K684" t="s">
        <v>337</v>
      </c>
      <c r="L684" t="s">
        <v>38</v>
      </c>
    </row>
    <row r="685" spans="2:13">
      <c r="B685" s="42" t="s">
        <v>225</v>
      </c>
      <c r="C685" s="35">
        <v>1</v>
      </c>
      <c r="D685" s="49"/>
      <c r="E685" s="15">
        <v>5</v>
      </c>
      <c r="F685" s="44"/>
      <c r="G685" s="35">
        <v>1</v>
      </c>
      <c r="H685" t="s">
        <v>350</v>
      </c>
      <c r="I685" t="s">
        <v>355</v>
      </c>
      <c r="J685" t="s">
        <v>347</v>
      </c>
      <c r="K685" t="s">
        <v>337</v>
      </c>
      <c r="L685" t="s">
        <v>38</v>
      </c>
      <c r="M685" t="s">
        <v>349</v>
      </c>
    </row>
    <row r="686" spans="2:13">
      <c r="B686" s="42" t="s">
        <v>227</v>
      </c>
      <c r="C686" s="35">
        <v>2</v>
      </c>
      <c r="D686" s="49"/>
      <c r="E686" s="15">
        <v>5</v>
      </c>
      <c r="F686" s="44"/>
      <c r="G686" s="35">
        <v>1</v>
      </c>
      <c r="H686" t="s">
        <v>350</v>
      </c>
      <c r="I686" t="s">
        <v>38</v>
      </c>
      <c r="J686" t="s">
        <v>347</v>
      </c>
      <c r="K686" t="s">
        <v>337</v>
      </c>
      <c r="L686" t="s">
        <v>38</v>
      </c>
    </row>
    <row r="687" spans="2:13">
      <c r="B687" s="42" t="s">
        <v>155</v>
      </c>
      <c r="C687" s="35">
        <v>1</v>
      </c>
      <c r="D687" s="49"/>
      <c r="E687" s="15">
        <v>5</v>
      </c>
      <c r="F687" s="44"/>
      <c r="G687" s="35">
        <v>1</v>
      </c>
      <c r="H687" t="s">
        <v>352</v>
      </c>
      <c r="I687" t="s">
        <v>38</v>
      </c>
      <c r="J687" t="s">
        <v>347</v>
      </c>
      <c r="K687" t="s">
        <v>337</v>
      </c>
      <c r="L687" t="s">
        <v>38</v>
      </c>
    </row>
    <row r="688" spans="2:13">
      <c r="B688" s="42" t="s">
        <v>225</v>
      </c>
      <c r="C688" s="35">
        <v>1</v>
      </c>
      <c r="D688" s="49"/>
      <c r="E688" s="15">
        <v>5</v>
      </c>
      <c r="F688" s="44"/>
      <c r="G688" s="35">
        <v>1</v>
      </c>
      <c r="H688" t="s">
        <v>352</v>
      </c>
      <c r="I688" t="s">
        <v>355</v>
      </c>
      <c r="J688" t="s">
        <v>347</v>
      </c>
      <c r="K688" t="s">
        <v>337</v>
      </c>
      <c r="L688" t="s">
        <v>38</v>
      </c>
      <c r="M688" t="s">
        <v>349</v>
      </c>
    </row>
    <row r="689" spans="2:13">
      <c r="B689" s="42" t="s">
        <v>227</v>
      </c>
      <c r="C689" s="35">
        <v>2</v>
      </c>
      <c r="D689" s="49"/>
      <c r="E689" s="15">
        <v>5</v>
      </c>
      <c r="F689" s="44"/>
      <c r="G689" s="35">
        <v>1</v>
      </c>
      <c r="H689" t="s">
        <v>354</v>
      </c>
      <c r="I689" t="s">
        <v>38</v>
      </c>
      <c r="J689" t="s">
        <v>347</v>
      </c>
      <c r="K689" t="s">
        <v>337</v>
      </c>
      <c r="L689" t="s">
        <v>38</v>
      </c>
    </row>
    <row r="690" spans="2:13">
      <c r="B690" s="42" t="s">
        <v>225</v>
      </c>
      <c r="C690" s="35">
        <v>1</v>
      </c>
      <c r="D690" s="49"/>
      <c r="E690" s="15">
        <v>5</v>
      </c>
      <c r="F690" s="44"/>
      <c r="G690" s="35">
        <v>1</v>
      </c>
      <c r="H690" t="s">
        <v>354</v>
      </c>
      <c r="I690" t="s">
        <v>355</v>
      </c>
      <c r="J690" t="s">
        <v>347</v>
      </c>
      <c r="K690" t="s">
        <v>337</v>
      </c>
      <c r="L690" t="s">
        <v>356</v>
      </c>
      <c r="M690" t="s">
        <v>349</v>
      </c>
    </row>
    <row r="691" spans="2:13">
      <c r="B691" s="42" t="s">
        <v>227</v>
      </c>
      <c r="C691" s="35">
        <v>2</v>
      </c>
      <c r="D691" s="49"/>
      <c r="E691" s="15">
        <v>5</v>
      </c>
      <c r="F691" s="44"/>
      <c r="G691" s="35">
        <v>1</v>
      </c>
      <c r="H691" t="s">
        <v>354</v>
      </c>
      <c r="I691" t="s">
        <v>38</v>
      </c>
      <c r="J691" t="s">
        <v>347</v>
      </c>
      <c r="K691" t="s">
        <v>337</v>
      </c>
      <c r="L691" t="s">
        <v>38</v>
      </c>
    </row>
    <row r="692" spans="2:13">
      <c r="B692" s="42" t="s">
        <v>155</v>
      </c>
      <c r="C692" s="35">
        <v>1</v>
      </c>
      <c r="D692" s="49"/>
      <c r="E692" s="15">
        <v>5</v>
      </c>
      <c r="F692" s="44"/>
      <c r="G692" s="35">
        <v>1</v>
      </c>
      <c r="H692" t="s">
        <v>354</v>
      </c>
      <c r="I692" t="s">
        <v>38</v>
      </c>
      <c r="J692" t="s">
        <v>347</v>
      </c>
      <c r="K692" t="s">
        <v>337</v>
      </c>
      <c r="L692" t="s">
        <v>38</v>
      </c>
    </row>
    <row r="693" spans="2:13">
      <c r="B693" s="42" t="s">
        <v>225</v>
      </c>
      <c r="C693" s="35">
        <v>2</v>
      </c>
      <c r="D693" s="49"/>
      <c r="E693" s="15">
        <v>5</v>
      </c>
      <c r="F693" s="44"/>
      <c r="G693" s="35">
        <v>1</v>
      </c>
      <c r="H693" t="s">
        <v>354</v>
      </c>
      <c r="I693" t="s">
        <v>355</v>
      </c>
      <c r="J693" t="s">
        <v>347</v>
      </c>
      <c r="K693" t="s">
        <v>337</v>
      </c>
      <c r="L693" t="s">
        <v>38</v>
      </c>
      <c r="M693" t="s">
        <v>349</v>
      </c>
    </row>
    <row r="694" spans="2:13">
      <c r="B694" s="42" t="s">
        <v>227</v>
      </c>
      <c r="C694" s="35">
        <v>4</v>
      </c>
      <c r="D694" s="49">
        <v>1</v>
      </c>
      <c r="E694" s="15">
        <v>5</v>
      </c>
      <c r="F694" s="15">
        <v>5</v>
      </c>
      <c r="G694" s="35">
        <v>1</v>
      </c>
      <c r="H694" t="s">
        <v>354</v>
      </c>
      <c r="I694" t="s">
        <v>38</v>
      </c>
      <c r="J694" t="s">
        <v>347</v>
      </c>
      <c r="K694" t="s">
        <v>337</v>
      </c>
      <c r="L694" t="s">
        <v>38</v>
      </c>
    </row>
    <row r="695" spans="2:13">
      <c r="B695" s="42" t="s">
        <v>225</v>
      </c>
      <c r="C695" s="35">
        <v>1</v>
      </c>
      <c r="D695" s="49">
        <v>1</v>
      </c>
      <c r="E695" s="15">
        <v>5</v>
      </c>
      <c r="F695" s="15">
        <v>5</v>
      </c>
      <c r="G695" s="35">
        <v>1</v>
      </c>
      <c r="H695" t="s">
        <v>354</v>
      </c>
      <c r="I695" t="s">
        <v>355</v>
      </c>
      <c r="J695" t="s">
        <v>347</v>
      </c>
      <c r="K695" t="s">
        <v>337</v>
      </c>
      <c r="L695" t="s">
        <v>356</v>
      </c>
      <c r="M695" t="s">
        <v>349</v>
      </c>
    </row>
    <row r="696" spans="2:13">
      <c r="B696" s="42" t="s">
        <v>227</v>
      </c>
      <c r="C696" s="35">
        <v>2</v>
      </c>
      <c r="D696" s="49">
        <v>1</v>
      </c>
      <c r="E696" s="15">
        <v>5</v>
      </c>
      <c r="F696" s="15">
        <v>5</v>
      </c>
      <c r="G696" s="35">
        <v>1</v>
      </c>
      <c r="H696" t="s">
        <v>354</v>
      </c>
      <c r="I696" t="s">
        <v>38</v>
      </c>
      <c r="J696" t="s">
        <v>347</v>
      </c>
      <c r="K696" t="s">
        <v>337</v>
      </c>
      <c r="L696" t="s">
        <v>38</v>
      </c>
    </row>
    <row r="697" spans="2:13">
      <c r="B697" s="42" t="s">
        <v>155</v>
      </c>
      <c r="C697" s="35">
        <v>1</v>
      </c>
      <c r="D697" s="49">
        <v>1</v>
      </c>
      <c r="E697" s="15">
        <v>5</v>
      </c>
      <c r="F697" s="15">
        <v>5</v>
      </c>
      <c r="G697" s="35">
        <v>1</v>
      </c>
      <c r="H697" t="s">
        <v>354</v>
      </c>
      <c r="I697" t="s">
        <v>38</v>
      </c>
      <c r="J697" t="s">
        <v>347</v>
      </c>
      <c r="K697" t="s">
        <v>337</v>
      </c>
      <c r="L697" t="s">
        <v>38</v>
      </c>
    </row>
    <row r="698" spans="2:13">
      <c r="B698" s="42" t="s">
        <v>133</v>
      </c>
      <c r="C698" s="50">
        <v>1</v>
      </c>
      <c r="D698" s="49">
        <v>1</v>
      </c>
      <c r="E698" s="15">
        <v>5</v>
      </c>
      <c r="F698" s="15">
        <v>5</v>
      </c>
      <c r="G698" s="35">
        <v>1</v>
      </c>
      <c r="H698" t="s">
        <v>354</v>
      </c>
      <c r="I698" t="s">
        <v>38</v>
      </c>
      <c r="J698" t="s">
        <v>347</v>
      </c>
      <c r="K698" t="s">
        <v>337</v>
      </c>
      <c r="L698" t="s">
        <v>38</v>
      </c>
    </row>
    <row r="699" spans="2:13">
      <c r="B699" s="42" t="s">
        <v>225</v>
      </c>
      <c r="C699" s="35">
        <v>2</v>
      </c>
      <c r="D699" s="49">
        <v>1</v>
      </c>
      <c r="E699" s="15">
        <v>5</v>
      </c>
      <c r="F699" s="15">
        <v>5</v>
      </c>
      <c r="G699" s="35">
        <v>1</v>
      </c>
      <c r="H699" t="s">
        <v>354</v>
      </c>
      <c r="I699" t="s">
        <v>355</v>
      </c>
      <c r="J699" t="s">
        <v>347</v>
      </c>
      <c r="K699" t="s">
        <v>337</v>
      </c>
      <c r="L699" t="s">
        <v>38</v>
      </c>
      <c r="M699" t="s">
        <v>349</v>
      </c>
    </row>
    <row r="700" spans="2:13">
      <c r="B700" s="42" t="s">
        <v>227</v>
      </c>
      <c r="C700" s="35">
        <v>4</v>
      </c>
      <c r="D700" s="49">
        <v>1</v>
      </c>
      <c r="E700" s="15">
        <v>5</v>
      </c>
      <c r="F700" s="15">
        <v>5</v>
      </c>
      <c r="G700" s="35">
        <v>1</v>
      </c>
      <c r="H700" t="s">
        <v>354</v>
      </c>
      <c r="I700" t="s">
        <v>38</v>
      </c>
      <c r="J700" t="s">
        <v>347</v>
      </c>
      <c r="K700" t="s">
        <v>337</v>
      </c>
      <c r="L700" t="s">
        <v>38</v>
      </c>
    </row>
    <row r="701" spans="2:13">
      <c r="B701" s="42" t="s">
        <v>155</v>
      </c>
      <c r="C701" s="35">
        <v>1</v>
      </c>
      <c r="D701" s="49">
        <v>1</v>
      </c>
      <c r="E701" s="15">
        <v>5</v>
      </c>
      <c r="F701" s="15">
        <v>5</v>
      </c>
      <c r="G701" s="35">
        <v>1</v>
      </c>
      <c r="H701" t="s">
        <v>354</v>
      </c>
      <c r="I701" t="s">
        <v>38</v>
      </c>
      <c r="J701" t="s">
        <v>347</v>
      </c>
      <c r="K701" t="s">
        <v>337</v>
      </c>
      <c r="L701" t="s">
        <v>38</v>
      </c>
    </row>
    <row r="702" spans="2:13">
      <c r="B702" s="42" t="s">
        <v>225</v>
      </c>
      <c r="C702" s="35">
        <v>1</v>
      </c>
      <c r="D702" s="49">
        <v>1</v>
      </c>
      <c r="E702" s="15">
        <v>5</v>
      </c>
      <c r="F702" s="15">
        <v>5</v>
      </c>
      <c r="G702" s="35">
        <v>1</v>
      </c>
      <c r="H702" t="s">
        <v>354</v>
      </c>
      <c r="I702" t="s">
        <v>355</v>
      </c>
      <c r="J702" t="s">
        <v>347</v>
      </c>
      <c r="K702" t="s">
        <v>337</v>
      </c>
      <c r="L702" t="s">
        <v>356</v>
      </c>
      <c r="M702" t="s">
        <v>349</v>
      </c>
    </row>
    <row r="703" spans="2:13">
      <c r="B703" s="42" t="s">
        <v>227</v>
      </c>
      <c r="C703" s="35">
        <v>2</v>
      </c>
      <c r="D703" s="49">
        <v>1</v>
      </c>
      <c r="E703" s="15">
        <v>5</v>
      </c>
      <c r="F703" s="15">
        <v>5</v>
      </c>
      <c r="G703" s="35">
        <v>1</v>
      </c>
      <c r="H703" t="s">
        <v>354</v>
      </c>
      <c r="I703" t="s">
        <v>38</v>
      </c>
      <c r="J703" t="s">
        <v>347</v>
      </c>
      <c r="K703" t="s">
        <v>337</v>
      </c>
      <c r="L703" t="s">
        <v>38</v>
      </c>
    </row>
    <row r="704" spans="2:13">
      <c r="B704" s="42" t="s">
        <v>225</v>
      </c>
      <c r="C704" s="35">
        <v>2</v>
      </c>
      <c r="D704" s="49">
        <v>1</v>
      </c>
      <c r="E704" s="15">
        <v>5</v>
      </c>
      <c r="F704" s="15">
        <v>5</v>
      </c>
      <c r="G704" s="35">
        <v>1</v>
      </c>
      <c r="H704" t="s">
        <v>354</v>
      </c>
      <c r="I704" t="s">
        <v>355</v>
      </c>
      <c r="J704" t="s">
        <v>347</v>
      </c>
      <c r="K704" t="s">
        <v>337</v>
      </c>
      <c r="L704" t="s">
        <v>38</v>
      </c>
      <c r="M704" t="s">
        <v>349</v>
      </c>
    </row>
    <row r="705" spans="2:13">
      <c r="B705" s="42" t="s">
        <v>227</v>
      </c>
      <c r="C705" s="35">
        <v>4</v>
      </c>
      <c r="D705" s="49">
        <v>1</v>
      </c>
      <c r="E705" s="15">
        <v>5</v>
      </c>
      <c r="F705" s="15">
        <v>5</v>
      </c>
      <c r="G705" s="35">
        <v>1</v>
      </c>
      <c r="H705" t="s">
        <v>354</v>
      </c>
      <c r="I705" t="s">
        <v>38</v>
      </c>
      <c r="J705" t="s">
        <v>347</v>
      </c>
      <c r="K705" t="s">
        <v>337</v>
      </c>
      <c r="L705" t="s">
        <v>38</v>
      </c>
    </row>
    <row r="706" spans="2:13">
      <c r="B706" s="42" t="s">
        <v>155</v>
      </c>
      <c r="C706" s="35">
        <v>1</v>
      </c>
      <c r="D706" s="49">
        <v>1</v>
      </c>
      <c r="E706" s="15">
        <v>5</v>
      </c>
      <c r="F706" s="15">
        <v>5</v>
      </c>
      <c r="G706" s="35">
        <v>1</v>
      </c>
      <c r="H706" t="s">
        <v>354</v>
      </c>
      <c r="I706" t="s">
        <v>38</v>
      </c>
      <c r="J706" t="s">
        <v>347</v>
      </c>
      <c r="K706" t="s">
        <v>337</v>
      </c>
      <c r="L706" t="s">
        <v>38</v>
      </c>
    </row>
    <row r="707" spans="2:13">
      <c r="B707" s="42" t="s">
        <v>225</v>
      </c>
      <c r="C707" s="35">
        <v>1</v>
      </c>
      <c r="D707" s="49">
        <v>1</v>
      </c>
      <c r="E707" s="15">
        <v>5</v>
      </c>
      <c r="F707" s="15">
        <v>5</v>
      </c>
      <c r="G707" s="35">
        <v>1</v>
      </c>
      <c r="H707" t="s">
        <v>354</v>
      </c>
      <c r="I707" t="s">
        <v>355</v>
      </c>
      <c r="J707" t="s">
        <v>347</v>
      </c>
      <c r="K707" t="s">
        <v>38</v>
      </c>
      <c r="L707" t="s">
        <v>356</v>
      </c>
      <c r="M707" t="s">
        <v>349</v>
      </c>
    </row>
    <row r="708" spans="2:13">
      <c r="B708" s="42" t="s">
        <v>227</v>
      </c>
      <c r="C708" s="35">
        <v>1</v>
      </c>
      <c r="D708" s="49">
        <v>1</v>
      </c>
      <c r="E708" s="15">
        <v>5</v>
      </c>
      <c r="F708" s="15">
        <v>5</v>
      </c>
      <c r="G708" s="35">
        <v>1</v>
      </c>
      <c r="H708" t="s">
        <v>354</v>
      </c>
      <c r="I708" t="s">
        <v>38</v>
      </c>
      <c r="J708" t="s">
        <v>347</v>
      </c>
      <c r="K708" t="s">
        <v>38</v>
      </c>
      <c r="L708" t="s">
        <v>38</v>
      </c>
    </row>
    <row r="709" spans="2:13">
      <c r="B709" s="42" t="s">
        <v>139</v>
      </c>
      <c r="C709" s="35">
        <v>1</v>
      </c>
      <c r="D709" s="49">
        <v>1</v>
      </c>
      <c r="E709" s="15">
        <v>5</v>
      </c>
      <c r="F709" s="15">
        <v>5</v>
      </c>
      <c r="G709" s="35">
        <v>1</v>
      </c>
      <c r="H709" t="s">
        <v>354</v>
      </c>
      <c r="I709" t="s">
        <v>38</v>
      </c>
      <c r="J709" t="s">
        <v>347</v>
      </c>
      <c r="K709" t="s">
        <v>38</v>
      </c>
      <c r="L709" t="s">
        <v>38</v>
      </c>
    </row>
    <row r="710" spans="2:13">
      <c r="B710" s="42" t="s">
        <v>223</v>
      </c>
      <c r="C710" s="35">
        <v>1</v>
      </c>
      <c r="D710" s="49">
        <v>1</v>
      </c>
      <c r="E710" s="15">
        <v>5</v>
      </c>
      <c r="F710" s="15">
        <v>5</v>
      </c>
      <c r="G710" s="35">
        <v>1</v>
      </c>
      <c r="H710" t="s">
        <v>354</v>
      </c>
      <c r="I710" t="s">
        <v>38</v>
      </c>
      <c r="J710" t="s">
        <v>347</v>
      </c>
      <c r="K710" t="s">
        <v>38</v>
      </c>
      <c r="L710" t="s">
        <v>38</v>
      </c>
      <c r="M710" t="s">
        <v>348</v>
      </c>
    </row>
    <row r="711" spans="2:13">
      <c r="B711" s="42" t="s">
        <v>224</v>
      </c>
      <c r="C711" s="35">
        <v>1</v>
      </c>
      <c r="D711" s="49">
        <v>1</v>
      </c>
      <c r="E711" s="15">
        <v>5</v>
      </c>
      <c r="F711" s="15">
        <v>5</v>
      </c>
      <c r="G711" s="35">
        <v>1</v>
      </c>
      <c r="H711" t="s">
        <v>38</v>
      </c>
      <c r="I711" t="s">
        <v>38</v>
      </c>
      <c r="J711" t="s">
        <v>38</v>
      </c>
      <c r="K711" t="s">
        <v>38</v>
      </c>
      <c r="L711" t="s">
        <v>38</v>
      </c>
    </row>
    <row r="712" spans="2:13">
      <c r="B712" s="42" t="s">
        <v>133</v>
      </c>
      <c r="C712" s="50">
        <v>1</v>
      </c>
      <c r="D712" s="49">
        <v>1</v>
      </c>
      <c r="E712" s="15">
        <v>5</v>
      </c>
      <c r="F712" s="15">
        <v>5</v>
      </c>
      <c r="G712" s="35">
        <v>1</v>
      </c>
      <c r="H712" t="s">
        <v>354</v>
      </c>
      <c r="I712" t="s">
        <v>38</v>
      </c>
      <c r="J712" t="s">
        <v>347</v>
      </c>
      <c r="K712" t="s">
        <v>38</v>
      </c>
      <c r="L712" t="s">
        <v>38</v>
      </c>
    </row>
    <row r="713" spans="2:13">
      <c r="B713" s="42" t="s">
        <v>129</v>
      </c>
      <c r="C713" s="50">
        <v>12</v>
      </c>
      <c r="D713" s="49"/>
      <c r="E713" s="15">
        <v>5</v>
      </c>
      <c r="F713" s="44"/>
      <c r="G713" s="35"/>
      <c r="H713" t="s">
        <v>38</v>
      </c>
      <c r="I713" t="s">
        <v>38</v>
      </c>
      <c r="J713" t="s">
        <v>347</v>
      </c>
      <c r="K713" t="s">
        <v>38</v>
      </c>
      <c r="L713" t="s">
        <v>38</v>
      </c>
    </row>
    <row r="714" spans="2:13">
      <c r="B714" s="42" t="s">
        <v>130</v>
      </c>
      <c r="C714" s="50">
        <v>12</v>
      </c>
      <c r="D714" s="49"/>
      <c r="E714" s="15">
        <v>5</v>
      </c>
      <c r="F714" s="44"/>
      <c r="G714" s="35"/>
      <c r="H714" t="s">
        <v>38</v>
      </c>
      <c r="I714" t="s">
        <v>38</v>
      </c>
      <c r="J714" t="s">
        <v>347</v>
      </c>
      <c r="K714" t="s">
        <v>38</v>
      </c>
      <c r="L714" t="s">
        <v>38</v>
      </c>
    </row>
    <row r="715" spans="2:13">
      <c r="B715" s="42" t="s">
        <v>129</v>
      </c>
      <c r="C715" s="50">
        <v>28</v>
      </c>
      <c r="D715" s="49"/>
      <c r="E715" s="15">
        <v>5</v>
      </c>
      <c r="F715" s="44"/>
      <c r="G715" s="35"/>
      <c r="H715" t="s">
        <v>354</v>
      </c>
      <c r="I715" t="s">
        <v>38</v>
      </c>
      <c r="J715" t="s">
        <v>347</v>
      </c>
      <c r="K715" t="s">
        <v>38</v>
      </c>
      <c r="L715" t="s">
        <v>38</v>
      </c>
    </row>
    <row r="716" spans="2:13">
      <c r="B716" s="42" t="s">
        <v>130</v>
      </c>
      <c r="C716" s="50">
        <v>28</v>
      </c>
      <c r="D716" s="49"/>
      <c r="E716" s="15">
        <v>5</v>
      </c>
      <c r="F716" s="44"/>
      <c r="G716" s="35"/>
      <c r="H716" t="s">
        <v>354</v>
      </c>
      <c r="I716" t="s">
        <v>38</v>
      </c>
      <c r="J716" t="s">
        <v>347</v>
      </c>
      <c r="K716" t="s">
        <v>38</v>
      </c>
      <c r="L716" t="s">
        <v>38</v>
      </c>
    </row>
    <row r="717" spans="2:13">
      <c r="B717" s="45" t="s">
        <v>38</v>
      </c>
      <c r="C717" s="51">
        <v>1</v>
      </c>
      <c r="D717" s="49"/>
      <c r="E717" s="44"/>
      <c r="F717" s="44"/>
      <c r="G717" s="35"/>
      <c r="H717" t="s">
        <v>38</v>
      </c>
      <c r="I717" t="s">
        <v>38</v>
      </c>
      <c r="J717" t="s">
        <v>38</v>
      </c>
      <c r="K717" t="s">
        <v>38</v>
      </c>
      <c r="L717" t="s">
        <v>38</v>
      </c>
    </row>
    <row r="718" spans="2:13">
      <c r="B718" s="45" t="s">
        <v>38</v>
      </c>
      <c r="C718" s="51">
        <v>1</v>
      </c>
      <c r="D718" s="49"/>
      <c r="E718" s="44"/>
      <c r="F718" s="44"/>
      <c r="G718" s="35"/>
      <c r="H718" t="s">
        <v>38</v>
      </c>
      <c r="I718" t="s">
        <v>38</v>
      </c>
      <c r="J718" t="s">
        <v>38</v>
      </c>
      <c r="K718" t="s">
        <v>38</v>
      </c>
      <c r="L718" t="s">
        <v>38</v>
      </c>
    </row>
    <row r="719" spans="2:13">
      <c r="B719" s="45" t="s">
        <v>38</v>
      </c>
      <c r="C719" s="51">
        <v>1</v>
      </c>
      <c r="D719" s="49"/>
      <c r="E719" s="44"/>
      <c r="F719" s="44"/>
      <c r="G719" s="35"/>
      <c r="H719" t="s">
        <v>38</v>
      </c>
      <c r="I719" t="s">
        <v>38</v>
      </c>
      <c r="J719" t="s">
        <v>38</v>
      </c>
      <c r="K719" t="s">
        <v>38</v>
      </c>
      <c r="L719" t="s">
        <v>38</v>
      </c>
    </row>
    <row r="720" spans="2:13">
      <c r="B720" s="45" t="s">
        <v>38</v>
      </c>
      <c r="C720" s="51">
        <v>1</v>
      </c>
      <c r="D720" s="49"/>
      <c r="E720" s="44"/>
      <c r="F720" s="44"/>
      <c r="G720" s="35"/>
      <c r="H720" t="s">
        <v>38</v>
      </c>
      <c r="I720" t="s">
        <v>38</v>
      </c>
      <c r="J720" t="s">
        <v>38</v>
      </c>
      <c r="K720" t="s">
        <v>38</v>
      </c>
      <c r="L720" t="s">
        <v>38</v>
      </c>
    </row>
    <row r="721" spans="2:12">
      <c r="B721" s="45" t="s">
        <v>38</v>
      </c>
      <c r="C721" s="51">
        <v>1</v>
      </c>
      <c r="D721" s="49"/>
      <c r="E721" s="44"/>
      <c r="F721" s="44"/>
      <c r="G721" s="35"/>
      <c r="H721" t="s">
        <v>38</v>
      </c>
      <c r="I721" t="s">
        <v>38</v>
      </c>
      <c r="J721" t="s">
        <v>38</v>
      </c>
      <c r="K721" t="s">
        <v>38</v>
      </c>
      <c r="L721" t="s">
        <v>38</v>
      </c>
    </row>
    <row r="722" spans="2:12">
      <c r="B722" s="45" t="s">
        <v>38</v>
      </c>
      <c r="C722" s="51">
        <v>1</v>
      </c>
      <c r="D722" s="49"/>
      <c r="E722" s="44"/>
      <c r="F722" s="44"/>
      <c r="G722" s="35"/>
      <c r="H722" t="s">
        <v>38</v>
      </c>
      <c r="I722" t="s">
        <v>38</v>
      </c>
      <c r="J722" t="s">
        <v>38</v>
      </c>
      <c r="K722" t="s">
        <v>38</v>
      </c>
      <c r="L722" t="s">
        <v>38</v>
      </c>
    </row>
    <row r="723" spans="2:12">
      <c r="B723" s="45" t="s">
        <v>38</v>
      </c>
      <c r="C723" s="51">
        <v>1</v>
      </c>
      <c r="D723" s="49"/>
      <c r="E723" s="44"/>
      <c r="F723" s="44"/>
      <c r="G723" s="35"/>
      <c r="H723" t="s">
        <v>38</v>
      </c>
      <c r="I723" t="s">
        <v>38</v>
      </c>
      <c r="J723" t="s">
        <v>38</v>
      </c>
      <c r="K723" t="s">
        <v>38</v>
      </c>
      <c r="L723" t="s">
        <v>38</v>
      </c>
    </row>
    <row r="724" spans="2:12">
      <c r="B724" s="40" t="s">
        <v>38</v>
      </c>
      <c r="C724" s="51">
        <v>1</v>
      </c>
      <c r="D724" s="49"/>
      <c r="E724" s="44"/>
      <c r="F724" s="44"/>
      <c r="G724" s="35"/>
      <c r="H724" t="s">
        <v>38</v>
      </c>
      <c r="I724" t="s">
        <v>38</v>
      </c>
      <c r="J724" t="s">
        <v>38</v>
      </c>
      <c r="K724" t="s">
        <v>38</v>
      </c>
      <c r="L724" t="s">
        <v>38</v>
      </c>
    </row>
    <row r="725" spans="2:12">
      <c r="B725" s="40" t="s">
        <v>38</v>
      </c>
      <c r="C725" s="51">
        <v>1</v>
      </c>
      <c r="D725" s="49"/>
      <c r="E725" s="44"/>
      <c r="F725" s="44"/>
      <c r="G725" s="35"/>
      <c r="H725" t="s">
        <v>38</v>
      </c>
      <c r="I725" t="s">
        <v>38</v>
      </c>
      <c r="J725" t="s">
        <v>38</v>
      </c>
      <c r="K725" t="s">
        <v>38</v>
      </c>
      <c r="L725" t="s">
        <v>38</v>
      </c>
    </row>
    <row r="726" spans="2:12">
      <c r="B726" s="40" t="s">
        <v>38</v>
      </c>
      <c r="C726" s="51">
        <v>1</v>
      </c>
      <c r="D726" s="49"/>
      <c r="E726" s="44"/>
      <c r="F726" s="44"/>
      <c r="G726" s="35"/>
      <c r="H726" t="s">
        <v>38</v>
      </c>
      <c r="I726" t="s">
        <v>38</v>
      </c>
      <c r="J726" t="s">
        <v>38</v>
      </c>
      <c r="K726" t="s">
        <v>38</v>
      </c>
      <c r="L726" t="s">
        <v>38</v>
      </c>
    </row>
    <row r="727" spans="2:12">
      <c r="B727" s="40" t="s">
        <v>38</v>
      </c>
      <c r="C727" s="51">
        <v>1</v>
      </c>
      <c r="D727" s="49"/>
      <c r="E727" s="44"/>
      <c r="F727" s="44"/>
      <c r="G727" s="35"/>
      <c r="H727" t="s">
        <v>38</v>
      </c>
      <c r="I727" t="s">
        <v>38</v>
      </c>
      <c r="J727" t="s">
        <v>38</v>
      </c>
      <c r="K727" t="s">
        <v>38</v>
      </c>
      <c r="L727" t="s">
        <v>38</v>
      </c>
    </row>
    <row r="728" spans="2:12">
      <c r="B728" s="40" t="s">
        <v>38</v>
      </c>
      <c r="C728" s="51">
        <v>1</v>
      </c>
      <c r="D728" s="49"/>
      <c r="E728" s="44"/>
      <c r="F728" s="44"/>
      <c r="G728" s="35"/>
      <c r="H728" t="s">
        <v>38</v>
      </c>
      <c r="I728" t="s">
        <v>38</v>
      </c>
      <c r="J728" t="s">
        <v>38</v>
      </c>
      <c r="K728" t="s">
        <v>38</v>
      </c>
      <c r="L728" t="s">
        <v>38</v>
      </c>
    </row>
    <row r="729" spans="2:12">
      <c r="B729" s="40" t="s">
        <v>38</v>
      </c>
      <c r="C729" s="51">
        <v>1</v>
      </c>
      <c r="D729" s="49"/>
      <c r="E729" s="44"/>
      <c r="F729" s="44"/>
      <c r="G729" s="35"/>
      <c r="H729" t="s">
        <v>38</v>
      </c>
      <c r="I729" t="s">
        <v>38</v>
      </c>
      <c r="J729" t="s">
        <v>38</v>
      </c>
      <c r="K729" t="s">
        <v>38</v>
      </c>
      <c r="L729" t="s">
        <v>38</v>
      </c>
    </row>
    <row r="730" spans="2:12">
      <c r="B730" s="40" t="s">
        <v>38</v>
      </c>
      <c r="C730" s="51">
        <v>1</v>
      </c>
      <c r="D730" s="49"/>
      <c r="E730" s="44"/>
      <c r="F730" s="44"/>
      <c r="G730" s="35"/>
      <c r="H730" t="s">
        <v>38</v>
      </c>
      <c r="I730" t="s">
        <v>38</v>
      </c>
      <c r="J730" t="s">
        <v>38</v>
      </c>
      <c r="K730" t="s">
        <v>38</v>
      </c>
      <c r="L730" t="s">
        <v>38</v>
      </c>
    </row>
    <row r="731" spans="2:12">
      <c r="B731" s="40" t="s">
        <v>38</v>
      </c>
      <c r="C731" s="51">
        <v>1</v>
      </c>
      <c r="D731" s="49"/>
      <c r="E731" s="44"/>
      <c r="F731" s="44"/>
      <c r="G731" s="35"/>
      <c r="H731" t="s">
        <v>38</v>
      </c>
      <c r="I731" t="s">
        <v>38</v>
      </c>
      <c r="J731" t="s">
        <v>38</v>
      </c>
      <c r="K731" t="s">
        <v>38</v>
      </c>
      <c r="L731" t="s">
        <v>38</v>
      </c>
    </row>
    <row r="732" spans="2:12">
      <c r="B732" s="40" t="s">
        <v>38</v>
      </c>
      <c r="C732" s="51">
        <v>1</v>
      </c>
      <c r="D732" s="49"/>
      <c r="E732" s="44"/>
      <c r="F732" s="44"/>
      <c r="G732" s="35"/>
      <c r="H732" t="s">
        <v>38</v>
      </c>
      <c r="I732" t="s">
        <v>38</v>
      </c>
      <c r="J732" t="s">
        <v>38</v>
      </c>
      <c r="K732" t="s">
        <v>38</v>
      </c>
      <c r="L732" t="s">
        <v>38</v>
      </c>
    </row>
    <row r="733" spans="2:12">
      <c r="B733" s="40" t="s">
        <v>38</v>
      </c>
      <c r="C733" s="51">
        <v>1</v>
      </c>
      <c r="D733" s="49"/>
      <c r="E733" s="44"/>
      <c r="F733" s="44"/>
      <c r="G733" s="35"/>
      <c r="H733" t="s">
        <v>38</v>
      </c>
      <c r="I733" t="s">
        <v>38</v>
      </c>
      <c r="J733" t="s">
        <v>38</v>
      </c>
      <c r="K733" t="s">
        <v>38</v>
      </c>
      <c r="L733" t="s">
        <v>38</v>
      </c>
    </row>
    <row r="734" spans="2:12">
      <c r="B734" s="40" t="s">
        <v>38</v>
      </c>
      <c r="C734" s="51">
        <v>1</v>
      </c>
      <c r="D734" s="49"/>
      <c r="E734" s="44"/>
      <c r="F734" s="44"/>
      <c r="G734" s="35"/>
      <c r="H734" t="s">
        <v>38</v>
      </c>
      <c r="I734" t="s">
        <v>38</v>
      </c>
      <c r="J734" t="s">
        <v>38</v>
      </c>
      <c r="K734" t="s">
        <v>38</v>
      </c>
      <c r="L734" t="s">
        <v>38</v>
      </c>
    </row>
    <row r="735" spans="2:12">
      <c r="B735" s="40" t="s">
        <v>38</v>
      </c>
      <c r="C735" s="51">
        <v>1</v>
      </c>
      <c r="D735" s="49"/>
      <c r="E735" s="44"/>
      <c r="F735" s="44"/>
      <c r="G735" s="35"/>
      <c r="H735" t="s">
        <v>38</v>
      </c>
      <c r="I735" t="s">
        <v>38</v>
      </c>
      <c r="J735" t="s">
        <v>38</v>
      </c>
      <c r="K735" t="s">
        <v>38</v>
      </c>
      <c r="L735" t="s">
        <v>38</v>
      </c>
    </row>
    <row r="736" spans="2:12">
      <c r="B736" s="45" t="s">
        <v>38</v>
      </c>
      <c r="C736" s="51">
        <v>1</v>
      </c>
      <c r="D736" s="49"/>
      <c r="E736" s="44"/>
      <c r="F736" s="44"/>
      <c r="G736" s="35"/>
      <c r="H736" t="s">
        <v>38</v>
      </c>
      <c r="I736" t="s">
        <v>38</v>
      </c>
      <c r="J736" t="s">
        <v>38</v>
      </c>
      <c r="K736" t="s">
        <v>38</v>
      </c>
      <c r="L736" t="s">
        <v>38</v>
      </c>
    </row>
    <row r="737" spans="1:16">
      <c r="B737" s="45" t="s">
        <v>38</v>
      </c>
      <c r="C737" s="51">
        <v>1</v>
      </c>
      <c r="D737" s="49"/>
      <c r="E737" s="44"/>
      <c r="F737" s="44"/>
      <c r="G737" s="35"/>
      <c r="H737" t="s">
        <v>38</v>
      </c>
      <c r="I737" t="s">
        <v>38</v>
      </c>
      <c r="J737" t="s">
        <v>38</v>
      </c>
      <c r="K737" t="s">
        <v>38</v>
      </c>
      <c r="L737" t="s">
        <v>38</v>
      </c>
    </row>
    <row r="738" spans="1:16">
      <c r="B738" s="45" t="s">
        <v>38</v>
      </c>
      <c r="C738" s="51">
        <v>1</v>
      </c>
      <c r="D738" s="49"/>
      <c r="E738" s="44"/>
      <c r="F738" s="44"/>
      <c r="G738" s="35"/>
      <c r="H738" t="s">
        <v>38</v>
      </c>
      <c r="I738" t="s">
        <v>38</v>
      </c>
      <c r="J738" t="s">
        <v>38</v>
      </c>
      <c r="K738" t="s">
        <v>38</v>
      </c>
      <c r="L738" t="s">
        <v>38</v>
      </c>
    </row>
    <row r="739" ht="15.15" spans="1:16">
      <c r="B739" s="52" t="s">
        <v>38</v>
      </c>
      <c r="C739" s="53">
        <v>1</v>
      </c>
      <c r="D739" s="54"/>
      <c r="E739" s="47"/>
      <c r="F739" s="47"/>
      <c r="G739" s="38"/>
      <c r="H739" t="s">
        <v>38</v>
      </c>
      <c r="I739" t="s">
        <v>38</v>
      </c>
      <c r="J739" t="s">
        <v>38</v>
      </c>
      <c r="K739" t="s">
        <v>38</v>
      </c>
      <c r="L739" t="s">
        <v>38</v>
      </c>
    </row>
    <row r="741" spans="1:16">
      <c r="A741" t="s">
        <v>104</v>
      </c>
      <c r="B741" s="48" t="s">
        <v>225</v>
      </c>
      <c r="C741" s="32">
        <v>1</v>
      </c>
      <c r="D741" s="49"/>
      <c r="E741" s="44">
        <v>0</v>
      </c>
      <c r="F741" s="44"/>
      <c r="G741" s="35"/>
      <c r="H741" t="s">
        <v>38</v>
      </c>
      <c r="I741" t="s">
        <v>38</v>
      </c>
      <c r="J741" t="s">
        <v>38</v>
      </c>
      <c r="K741" t="s">
        <v>38</v>
      </c>
      <c r="L741" t="s">
        <v>38</v>
      </c>
      <c r="O741">
        <v>28</v>
      </c>
      <c r="P741">
        <v>45736.6</v>
      </c>
    </row>
    <row r="742" spans="1:16">
      <c r="B742" s="42" t="s">
        <v>227</v>
      </c>
      <c r="C742" s="35">
        <v>2</v>
      </c>
      <c r="D742" s="49"/>
      <c r="E742" s="15">
        <v>1</v>
      </c>
      <c r="F742" s="44"/>
      <c r="G742" s="35"/>
      <c r="H742" t="s">
        <v>38</v>
      </c>
      <c r="I742" t="s">
        <v>38</v>
      </c>
      <c r="J742" t="s">
        <v>38</v>
      </c>
      <c r="K742" t="s">
        <v>38</v>
      </c>
      <c r="L742" t="s">
        <v>38</v>
      </c>
    </row>
    <row r="743" spans="1:16">
      <c r="B743" s="42" t="s">
        <v>225</v>
      </c>
      <c r="C743" s="35">
        <v>1</v>
      </c>
      <c r="D743" s="49"/>
      <c r="E743" s="15">
        <v>1</v>
      </c>
      <c r="F743" s="44"/>
      <c r="G743" s="35"/>
      <c r="H743" t="s">
        <v>350</v>
      </c>
      <c r="I743" t="s">
        <v>351</v>
      </c>
      <c r="J743" t="s">
        <v>38</v>
      </c>
      <c r="K743" t="s">
        <v>38</v>
      </c>
      <c r="L743" t="s">
        <v>38</v>
      </c>
    </row>
    <row r="744" spans="1:16">
      <c r="B744" s="42" t="s">
        <v>227</v>
      </c>
      <c r="C744" s="35">
        <v>2</v>
      </c>
      <c r="D744" s="49"/>
      <c r="E744" s="15">
        <v>1</v>
      </c>
      <c r="F744" s="44"/>
      <c r="G744" s="35"/>
      <c r="H744" t="s">
        <v>352</v>
      </c>
      <c r="I744" t="s">
        <v>38</v>
      </c>
      <c r="J744" t="s">
        <v>38</v>
      </c>
      <c r="K744" t="s">
        <v>38</v>
      </c>
      <c r="L744" t="s">
        <v>38</v>
      </c>
    </row>
    <row r="745" spans="1:16">
      <c r="B745" s="42" t="s">
        <v>225</v>
      </c>
      <c r="C745" s="35">
        <v>1</v>
      </c>
      <c r="D745" s="49"/>
      <c r="E745" s="15">
        <v>2</v>
      </c>
      <c r="F745" s="44"/>
      <c r="G745" s="35"/>
      <c r="H745" t="s">
        <v>352</v>
      </c>
      <c r="I745" t="s">
        <v>353</v>
      </c>
      <c r="J745" t="s">
        <v>38</v>
      </c>
      <c r="K745" t="s">
        <v>38</v>
      </c>
      <c r="L745" t="s">
        <v>38</v>
      </c>
    </row>
    <row r="746" spans="1:16">
      <c r="B746" s="42" t="s">
        <v>227</v>
      </c>
      <c r="C746" s="35">
        <v>2</v>
      </c>
      <c r="D746" s="49"/>
      <c r="E746" s="15">
        <v>2</v>
      </c>
      <c r="F746" s="44"/>
      <c r="G746" s="35"/>
      <c r="H746" t="s">
        <v>354</v>
      </c>
      <c r="I746" t="s">
        <v>38</v>
      </c>
      <c r="J746" t="s">
        <v>38</v>
      </c>
      <c r="K746" t="s">
        <v>38</v>
      </c>
      <c r="L746" t="s">
        <v>38</v>
      </c>
    </row>
    <row r="747" spans="1:16">
      <c r="B747" s="42" t="s">
        <v>225</v>
      </c>
      <c r="C747" s="35">
        <v>1</v>
      </c>
      <c r="D747" s="49"/>
      <c r="E747" s="15">
        <v>2</v>
      </c>
      <c r="F747" s="44"/>
      <c r="G747" s="35"/>
      <c r="H747" t="s">
        <v>354</v>
      </c>
      <c r="I747" t="s">
        <v>355</v>
      </c>
      <c r="J747" t="s">
        <v>38</v>
      </c>
      <c r="K747" t="s">
        <v>38</v>
      </c>
      <c r="L747" t="s">
        <v>38</v>
      </c>
    </row>
    <row r="748" spans="1:16">
      <c r="B748" s="42" t="s">
        <v>227</v>
      </c>
      <c r="C748" s="35">
        <v>2</v>
      </c>
      <c r="D748" s="49"/>
      <c r="E748" s="15">
        <v>2</v>
      </c>
      <c r="F748" s="44"/>
      <c r="G748" s="35"/>
      <c r="H748" t="s">
        <v>354</v>
      </c>
      <c r="I748" t="s">
        <v>38</v>
      </c>
      <c r="J748" t="s">
        <v>38</v>
      </c>
      <c r="K748" t="s">
        <v>38</v>
      </c>
      <c r="L748" t="s">
        <v>38</v>
      </c>
    </row>
    <row r="749" spans="1:16">
      <c r="B749" s="42" t="s">
        <v>225</v>
      </c>
      <c r="C749" s="35">
        <v>1</v>
      </c>
      <c r="D749" s="49"/>
      <c r="E749" s="15">
        <v>2</v>
      </c>
      <c r="F749" s="44"/>
      <c r="G749" s="35"/>
      <c r="H749" t="s">
        <v>354</v>
      </c>
      <c r="I749" t="s">
        <v>355</v>
      </c>
      <c r="J749" t="s">
        <v>38</v>
      </c>
      <c r="K749" t="s">
        <v>38</v>
      </c>
      <c r="L749" t="s">
        <v>38</v>
      </c>
    </row>
    <row r="750" spans="1:16">
      <c r="B750" s="42" t="s">
        <v>227</v>
      </c>
      <c r="C750" s="35">
        <v>1</v>
      </c>
      <c r="D750" s="49"/>
      <c r="E750" s="15">
        <v>3</v>
      </c>
      <c r="F750" s="44"/>
      <c r="G750" s="35"/>
      <c r="H750" t="s">
        <v>354</v>
      </c>
      <c r="I750" t="s">
        <v>38</v>
      </c>
      <c r="J750" t="s">
        <v>38</v>
      </c>
      <c r="K750" t="s">
        <v>38</v>
      </c>
      <c r="L750" t="s">
        <v>38</v>
      </c>
    </row>
    <row r="751" spans="1:16">
      <c r="B751" s="42" t="s">
        <v>139</v>
      </c>
      <c r="C751" s="35">
        <v>1</v>
      </c>
      <c r="D751" s="49"/>
      <c r="E751" s="15">
        <v>3</v>
      </c>
      <c r="F751" s="44"/>
      <c r="G751" s="35"/>
      <c r="H751" t="s">
        <v>354</v>
      </c>
      <c r="I751" t="s">
        <v>38</v>
      </c>
      <c r="J751" t="s">
        <v>38</v>
      </c>
      <c r="K751" t="s">
        <v>38</v>
      </c>
      <c r="L751" t="s">
        <v>38</v>
      </c>
    </row>
    <row r="752" spans="1:16">
      <c r="B752" s="42" t="s">
        <v>220</v>
      </c>
      <c r="C752" s="35">
        <v>1</v>
      </c>
      <c r="D752" s="49"/>
      <c r="E752" s="15">
        <v>4</v>
      </c>
      <c r="F752" s="44"/>
      <c r="G752" s="35"/>
      <c r="H752" t="s">
        <v>354</v>
      </c>
      <c r="I752" t="s">
        <v>38</v>
      </c>
      <c r="J752" t="s">
        <v>38</v>
      </c>
      <c r="K752" t="s">
        <v>38</v>
      </c>
      <c r="L752" t="s">
        <v>38</v>
      </c>
    </row>
    <row r="753" spans="2:12">
      <c r="B753" s="42" t="s">
        <v>221</v>
      </c>
      <c r="C753" s="35">
        <v>1</v>
      </c>
      <c r="D753" s="49"/>
      <c r="E753" s="15">
        <v>4</v>
      </c>
      <c r="F753" s="44"/>
      <c r="G753" s="35"/>
      <c r="H753" t="s">
        <v>354</v>
      </c>
      <c r="I753" t="s">
        <v>38</v>
      </c>
      <c r="J753" t="s">
        <v>38</v>
      </c>
      <c r="K753" t="s">
        <v>38</v>
      </c>
      <c r="L753" t="s">
        <v>38</v>
      </c>
    </row>
    <row r="754" spans="2:12">
      <c r="B754" s="42" t="s">
        <v>154</v>
      </c>
      <c r="C754" s="35">
        <v>1</v>
      </c>
      <c r="D754" s="49"/>
      <c r="E754" s="15">
        <v>5</v>
      </c>
      <c r="F754" s="44"/>
      <c r="G754" s="35"/>
      <c r="H754" t="s">
        <v>38</v>
      </c>
      <c r="I754" t="s">
        <v>38</v>
      </c>
      <c r="J754" t="s">
        <v>347</v>
      </c>
      <c r="K754" t="s">
        <v>337</v>
      </c>
      <c r="L754" t="s">
        <v>38</v>
      </c>
    </row>
    <row r="755" spans="2:12">
      <c r="B755" s="42" t="s">
        <v>223</v>
      </c>
      <c r="C755" s="35">
        <v>1</v>
      </c>
      <c r="D755" s="49"/>
      <c r="E755" s="15">
        <v>5</v>
      </c>
      <c r="F755" s="44"/>
      <c r="G755" s="35"/>
      <c r="H755" t="s">
        <v>38</v>
      </c>
      <c r="I755" t="s">
        <v>38</v>
      </c>
      <c r="J755" t="s">
        <v>347</v>
      </c>
      <c r="K755" t="s">
        <v>337</v>
      </c>
      <c r="L755" t="s">
        <v>38</v>
      </c>
    </row>
    <row r="756" spans="2:12">
      <c r="B756" s="42" t="s">
        <v>224</v>
      </c>
      <c r="C756" s="35">
        <v>1</v>
      </c>
      <c r="D756" s="49"/>
      <c r="E756" s="15">
        <v>5</v>
      </c>
      <c r="F756" s="44"/>
      <c r="G756" s="35"/>
      <c r="H756" t="s">
        <v>38</v>
      </c>
      <c r="I756" t="s">
        <v>38</v>
      </c>
      <c r="J756" t="s">
        <v>347</v>
      </c>
      <c r="K756" t="s">
        <v>337</v>
      </c>
      <c r="L756" t="s">
        <v>38</v>
      </c>
    </row>
    <row r="757" spans="2:12">
      <c r="B757" s="42" t="s">
        <v>133</v>
      </c>
      <c r="C757" s="50">
        <v>1</v>
      </c>
      <c r="D757" s="49"/>
      <c r="E757" s="15">
        <v>5</v>
      </c>
      <c r="F757" s="44"/>
      <c r="G757" s="35"/>
      <c r="H757" t="s">
        <v>38</v>
      </c>
      <c r="I757" t="s">
        <v>38</v>
      </c>
      <c r="J757" t="s">
        <v>347</v>
      </c>
      <c r="K757" t="s">
        <v>337</v>
      </c>
      <c r="L757" t="s">
        <v>38</v>
      </c>
    </row>
    <row r="758" spans="2:12">
      <c r="B758" s="42" t="s">
        <v>225</v>
      </c>
      <c r="C758" s="35">
        <v>1</v>
      </c>
      <c r="D758" s="49"/>
      <c r="E758" s="15">
        <v>5</v>
      </c>
      <c r="F758" s="44"/>
      <c r="G758" s="35">
        <v>1</v>
      </c>
      <c r="H758" t="s">
        <v>38</v>
      </c>
      <c r="I758" t="s">
        <v>38</v>
      </c>
      <c r="J758" t="s">
        <v>347</v>
      </c>
      <c r="K758" t="s">
        <v>337</v>
      </c>
      <c r="L758" t="s">
        <v>38</v>
      </c>
    </row>
    <row r="759" spans="2:12">
      <c r="B759" s="42" t="s">
        <v>227</v>
      </c>
      <c r="C759" s="35">
        <v>2</v>
      </c>
      <c r="D759" s="49"/>
      <c r="E759" s="15">
        <v>5</v>
      </c>
      <c r="F759" s="44"/>
      <c r="G759" s="35">
        <v>1</v>
      </c>
      <c r="H759" t="s">
        <v>38</v>
      </c>
      <c r="I759" t="s">
        <v>38</v>
      </c>
      <c r="J759" t="s">
        <v>347</v>
      </c>
      <c r="K759" t="s">
        <v>337</v>
      </c>
      <c r="L759" t="s">
        <v>38</v>
      </c>
    </row>
    <row r="760" spans="2:12">
      <c r="B760" s="42" t="s">
        <v>225</v>
      </c>
      <c r="C760" s="35">
        <v>1</v>
      </c>
      <c r="D760" s="49"/>
      <c r="E760" s="15">
        <v>5</v>
      </c>
      <c r="F760" s="44"/>
      <c r="G760" s="35">
        <v>1</v>
      </c>
      <c r="H760" t="s">
        <v>350</v>
      </c>
      <c r="I760" t="s">
        <v>351</v>
      </c>
      <c r="J760" t="s">
        <v>347</v>
      </c>
      <c r="K760" t="s">
        <v>337</v>
      </c>
      <c r="L760" t="s">
        <v>38</v>
      </c>
    </row>
    <row r="761" spans="2:12">
      <c r="B761" s="42" t="s">
        <v>227</v>
      </c>
      <c r="C761" s="35">
        <v>2</v>
      </c>
      <c r="D761" s="49"/>
      <c r="E761" s="15">
        <v>5</v>
      </c>
      <c r="F761" s="44"/>
      <c r="G761" s="35">
        <v>1</v>
      </c>
      <c r="H761" t="s">
        <v>350</v>
      </c>
      <c r="I761" t="s">
        <v>38</v>
      </c>
      <c r="J761" t="s">
        <v>347</v>
      </c>
      <c r="K761" t="s">
        <v>337</v>
      </c>
      <c r="L761" t="s">
        <v>38</v>
      </c>
    </row>
    <row r="762" spans="2:12">
      <c r="B762" s="42" t="s">
        <v>225</v>
      </c>
      <c r="C762" s="35">
        <v>1</v>
      </c>
      <c r="D762" s="49"/>
      <c r="E762" s="15">
        <v>5</v>
      </c>
      <c r="F762" s="44"/>
      <c r="G762" s="35">
        <v>1</v>
      </c>
      <c r="H762" t="s">
        <v>352</v>
      </c>
      <c r="I762" t="s">
        <v>353</v>
      </c>
      <c r="J762" t="s">
        <v>347</v>
      </c>
      <c r="K762" t="s">
        <v>337</v>
      </c>
      <c r="L762" t="s">
        <v>38</v>
      </c>
    </row>
    <row r="763" spans="2:12">
      <c r="B763" s="42" t="s">
        <v>227</v>
      </c>
      <c r="C763" s="35">
        <v>2</v>
      </c>
      <c r="D763" s="49"/>
      <c r="E763" s="15">
        <v>5</v>
      </c>
      <c r="F763" s="44"/>
      <c r="G763" s="35">
        <v>1</v>
      </c>
      <c r="H763" t="s">
        <v>352</v>
      </c>
      <c r="I763" t="s">
        <v>38</v>
      </c>
      <c r="J763" t="s">
        <v>347</v>
      </c>
      <c r="K763" t="s">
        <v>337</v>
      </c>
      <c r="L763" t="s">
        <v>38</v>
      </c>
    </row>
    <row r="764" spans="2:12">
      <c r="B764" s="42" t="s">
        <v>225</v>
      </c>
      <c r="C764" s="35">
        <v>1</v>
      </c>
      <c r="D764" s="49"/>
      <c r="E764" s="15">
        <v>5</v>
      </c>
      <c r="F764" s="44"/>
      <c r="G764" s="35">
        <v>1</v>
      </c>
      <c r="H764" t="s">
        <v>354</v>
      </c>
      <c r="I764" t="s">
        <v>355</v>
      </c>
      <c r="J764" t="s">
        <v>347</v>
      </c>
      <c r="K764" t="s">
        <v>337</v>
      </c>
      <c r="L764" t="s">
        <v>356</v>
      </c>
    </row>
    <row r="765" spans="2:12">
      <c r="B765" s="42" t="s">
        <v>227</v>
      </c>
      <c r="C765" s="35">
        <v>2</v>
      </c>
      <c r="D765" s="49"/>
      <c r="E765" s="15">
        <v>5</v>
      </c>
      <c r="F765" s="44"/>
      <c r="G765" s="35">
        <v>1</v>
      </c>
      <c r="H765" t="s">
        <v>354</v>
      </c>
      <c r="I765" t="s">
        <v>38</v>
      </c>
      <c r="J765" t="s">
        <v>347</v>
      </c>
      <c r="K765" t="s">
        <v>337</v>
      </c>
      <c r="L765" t="s">
        <v>38</v>
      </c>
    </row>
    <row r="766" spans="2:12">
      <c r="B766" s="42" t="s">
        <v>225</v>
      </c>
      <c r="C766" s="35">
        <v>1</v>
      </c>
      <c r="D766" s="49"/>
      <c r="E766" s="15">
        <v>5</v>
      </c>
      <c r="F766" s="44"/>
      <c r="G766" s="35">
        <v>1</v>
      </c>
      <c r="H766" t="s">
        <v>354</v>
      </c>
      <c r="I766" t="s">
        <v>355</v>
      </c>
      <c r="J766" t="s">
        <v>347</v>
      </c>
      <c r="K766" t="s">
        <v>337</v>
      </c>
      <c r="L766" t="s">
        <v>38</v>
      </c>
    </row>
    <row r="767" spans="2:12">
      <c r="B767" s="42" t="s">
        <v>227</v>
      </c>
      <c r="C767" s="35">
        <v>2</v>
      </c>
      <c r="D767" s="49"/>
      <c r="E767" s="15">
        <v>5</v>
      </c>
      <c r="F767" s="44"/>
      <c r="G767" s="35">
        <v>1</v>
      </c>
      <c r="H767" t="s">
        <v>354</v>
      </c>
      <c r="I767" t="s">
        <v>38</v>
      </c>
      <c r="J767" t="s">
        <v>347</v>
      </c>
      <c r="K767" t="s">
        <v>337</v>
      </c>
      <c r="L767" t="s">
        <v>38</v>
      </c>
    </row>
    <row r="768" spans="2:12">
      <c r="B768" s="42" t="s">
        <v>225</v>
      </c>
      <c r="C768" s="35">
        <v>1</v>
      </c>
      <c r="D768" s="49">
        <v>1</v>
      </c>
      <c r="E768" s="15">
        <v>5</v>
      </c>
      <c r="F768" s="15">
        <v>5</v>
      </c>
      <c r="G768" s="35">
        <v>1</v>
      </c>
      <c r="H768" t="s">
        <v>354</v>
      </c>
      <c r="I768" t="s">
        <v>355</v>
      </c>
      <c r="J768" t="s">
        <v>347</v>
      </c>
      <c r="K768" t="s">
        <v>337</v>
      </c>
      <c r="L768" t="s">
        <v>38</v>
      </c>
    </row>
    <row r="769" spans="2:12">
      <c r="B769" s="42" t="s">
        <v>227</v>
      </c>
      <c r="C769" s="35">
        <v>2</v>
      </c>
      <c r="D769" s="49">
        <v>1</v>
      </c>
      <c r="E769" s="15">
        <v>5</v>
      </c>
      <c r="F769" s="15">
        <v>5</v>
      </c>
      <c r="G769" s="35">
        <v>1</v>
      </c>
      <c r="H769" t="s">
        <v>354</v>
      </c>
      <c r="I769" t="s">
        <v>38</v>
      </c>
      <c r="J769" t="s">
        <v>347</v>
      </c>
      <c r="K769" t="s">
        <v>337</v>
      </c>
      <c r="L769" t="s">
        <v>38</v>
      </c>
    </row>
    <row r="770" spans="2:12">
      <c r="B770" s="42" t="s">
        <v>225</v>
      </c>
      <c r="C770" s="35">
        <v>1</v>
      </c>
      <c r="D770" s="49">
        <v>1</v>
      </c>
      <c r="E770" s="15">
        <v>5</v>
      </c>
      <c r="F770" s="15">
        <v>5</v>
      </c>
      <c r="G770" s="35">
        <v>1</v>
      </c>
      <c r="H770" t="s">
        <v>354</v>
      </c>
      <c r="I770" t="s">
        <v>355</v>
      </c>
      <c r="J770" t="s">
        <v>347</v>
      </c>
      <c r="K770" t="s">
        <v>337</v>
      </c>
      <c r="L770" t="s">
        <v>356</v>
      </c>
    </row>
    <row r="771" spans="2:12">
      <c r="B771" s="42" t="s">
        <v>227</v>
      </c>
      <c r="C771" s="35">
        <v>2</v>
      </c>
      <c r="D771" s="49">
        <v>1</v>
      </c>
      <c r="E771" s="15">
        <v>5</v>
      </c>
      <c r="F771" s="15">
        <v>5</v>
      </c>
      <c r="G771" s="35">
        <v>1</v>
      </c>
      <c r="H771" t="s">
        <v>354</v>
      </c>
      <c r="I771" t="s">
        <v>38</v>
      </c>
      <c r="J771" t="s">
        <v>347</v>
      </c>
      <c r="K771" t="s">
        <v>337</v>
      </c>
      <c r="L771" t="s">
        <v>38</v>
      </c>
    </row>
    <row r="772" spans="2:12">
      <c r="B772" s="42" t="s">
        <v>225</v>
      </c>
      <c r="C772" s="35">
        <v>1</v>
      </c>
      <c r="D772" s="49">
        <v>1</v>
      </c>
      <c r="E772" s="15">
        <v>5</v>
      </c>
      <c r="F772" s="15">
        <v>5</v>
      </c>
      <c r="G772" s="35">
        <v>1</v>
      </c>
      <c r="H772" t="s">
        <v>354</v>
      </c>
      <c r="I772" t="s">
        <v>355</v>
      </c>
      <c r="J772" t="s">
        <v>347</v>
      </c>
      <c r="K772" t="s">
        <v>337</v>
      </c>
      <c r="L772" t="s">
        <v>38</v>
      </c>
    </row>
    <row r="773" spans="2:12">
      <c r="B773" s="42" t="s">
        <v>227</v>
      </c>
      <c r="C773" s="35">
        <v>2</v>
      </c>
      <c r="D773" s="49">
        <v>1</v>
      </c>
      <c r="E773" s="15">
        <v>5</v>
      </c>
      <c r="F773" s="15">
        <v>5</v>
      </c>
      <c r="G773" s="35">
        <v>1</v>
      </c>
      <c r="H773" t="s">
        <v>354</v>
      </c>
      <c r="I773" t="s">
        <v>38</v>
      </c>
      <c r="J773" t="s">
        <v>347</v>
      </c>
      <c r="K773" t="s">
        <v>337</v>
      </c>
      <c r="L773" t="s">
        <v>38</v>
      </c>
    </row>
    <row r="774" spans="2:12">
      <c r="B774" s="42" t="s">
        <v>225</v>
      </c>
      <c r="C774" s="35">
        <v>1</v>
      </c>
      <c r="D774" s="49">
        <v>1</v>
      </c>
      <c r="E774" s="15">
        <v>5</v>
      </c>
      <c r="F774" s="15">
        <v>5</v>
      </c>
      <c r="G774" s="35">
        <v>1</v>
      </c>
      <c r="H774" t="s">
        <v>354</v>
      </c>
      <c r="I774" t="s">
        <v>355</v>
      </c>
      <c r="J774" t="s">
        <v>347</v>
      </c>
      <c r="K774" t="s">
        <v>337</v>
      </c>
      <c r="L774" t="s">
        <v>38</v>
      </c>
    </row>
    <row r="775" spans="2:12">
      <c r="B775" s="42" t="s">
        <v>227</v>
      </c>
      <c r="C775" s="35">
        <v>2</v>
      </c>
      <c r="D775" s="49">
        <v>1</v>
      </c>
      <c r="E775" s="15">
        <v>5</v>
      </c>
      <c r="F775" s="15">
        <v>5</v>
      </c>
      <c r="G775" s="35">
        <v>1</v>
      </c>
      <c r="H775" t="s">
        <v>354</v>
      </c>
      <c r="I775" t="s">
        <v>38</v>
      </c>
      <c r="J775" t="s">
        <v>347</v>
      </c>
      <c r="K775" t="s">
        <v>337</v>
      </c>
      <c r="L775" t="s">
        <v>38</v>
      </c>
    </row>
    <row r="776" spans="2:12">
      <c r="B776" s="42" t="s">
        <v>225</v>
      </c>
      <c r="C776" s="35">
        <v>1</v>
      </c>
      <c r="D776" s="49">
        <v>1</v>
      </c>
      <c r="E776" s="15">
        <v>5</v>
      </c>
      <c r="F776" s="15">
        <v>5</v>
      </c>
      <c r="G776" s="35">
        <v>1</v>
      </c>
      <c r="H776" t="s">
        <v>354</v>
      </c>
      <c r="I776" t="s">
        <v>355</v>
      </c>
      <c r="J776" t="s">
        <v>347</v>
      </c>
      <c r="K776" t="s">
        <v>337</v>
      </c>
      <c r="L776" t="s">
        <v>356</v>
      </c>
    </row>
    <row r="777" spans="2:12">
      <c r="B777" s="42" t="s">
        <v>227</v>
      </c>
      <c r="C777" s="35">
        <v>2</v>
      </c>
      <c r="D777" s="49">
        <v>1</v>
      </c>
      <c r="E777" s="15">
        <v>5</v>
      </c>
      <c r="F777" s="15">
        <v>5</v>
      </c>
      <c r="G777" s="35">
        <v>1</v>
      </c>
      <c r="H777" t="s">
        <v>354</v>
      </c>
      <c r="I777" t="s">
        <v>38</v>
      </c>
      <c r="J777" t="s">
        <v>347</v>
      </c>
      <c r="K777" t="s">
        <v>337</v>
      </c>
      <c r="L777" t="s">
        <v>38</v>
      </c>
    </row>
    <row r="778" spans="2:12">
      <c r="B778" s="42" t="s">
        <v>225</v>
      </c>
      <c r="C778" s="35">
        <v>1</v>
      </c>
      <c r="D778" s="49">
        <v>1</v>
      </c>
      <c r="E778" s="15">
        <v>5</v>
      </c>
      <c r="F778" s="15">
        <v>5</v>
      </c>
      <c r="G778" s="35">
        <v>1</v>
      </c>
      <c r="H778" t="s">
        <v>354</v>
      </c>
      <c r="I778" t="s">
        <v>355</v>
      </c>
      <c r="J778" t="s">
        <v>347</v>
      </c>
      <c r="K778" t="s">
        <v>337</v>
      </c>
      <c r="L778" t="s">
        <v>38</v>
      </c>
    </row>
    <row r="779" spans="2:12">
      <c r="B779" s="42" t="s">
        <v>227</v>
      </c>
      <c r="C779" s="35">
        <v>2</v>
      </c>
      <c r="D779" s="49">
        <v>1</v>
      </c>
      <c r="E779" s="15">
        <v>5</v>
      </c>
      <c r="F779" s="15">
        <v>5</v>
      </c>
      <c r="G779" s="35">
        <v>1</v>
      </c>
      <c r="H779" t="s">
        <v>354</v>
      </c>
      <c r="I779" t="s">
        <v>38</v>
      </c>
      <c r="J779" t="s">
        <v>347</v>
      </c>
      <c r="K779" t="s">
        <v>337</v>
      </c>
      <c r="L779" t="s">
        <v>38</v>
      </c>
    </row>
    <row r="780" spans="2:12">
      <c r="B780" s="42" t="s">
        <v>225</v>
      </c>
      <c r="C780" s="35">
        <v>1</v>
      </c>
      <c r="D780" s="49">
        <v>1</v>
      </c>
      <c r="E780" s="15">
        <v>5</v>
      </c>
      <c r="F780" s="15">
        <v>5</v>
      </c>
      <c r="G780" s="35">
        <v>1</v>
      </c>
      <c r="H780" t="s">
        <v>354</v>
      </c>
      <c r="I780" t="s">
        <v>355</v>
      </c>
      <c r="J780" t="s">
        <v>347</v>
      </c>
      <c r="K780" t="s">
        <v>38</v>
      </c>
      <c r="L780" t="s">
        <v>38</v>
      </c>
    </row>
    <row r="781" spans="2:12">
      <c r="B781" s="42" t="s">
        <v>227</v>
      </c>
      <c r="C781" s="35">
        <v>2</v>
      </c>
      <c r="D781" s="49">
        <v>1</v>
      </c>
      <c r="E781" s="15">
        <v>5</v>
      </c>
      <c r="F781" s="15">
        <v>5</v>
      </c>
      <c r="G781" s="35">
        <v>1</v>
      </c>
      <c r="H781" t="s">
        <v>354</v>
      </c>
      <c r="I781" t="s">
        <v>38</v>
      </c>
      <c r="J781" t="s">
        <v>347</v>
      </c>
      <c r="K781" t="s">
        <v>38</v>
      </c>
      <c r="L781" t="s">
        <v>38</v>
      </c>
    </row>
    <row r="782" spans="2:12">
      <c r="B782" s="42" t="s">
        <v>225</v>
      </c>
      <c r="C782" s="35">
        <v>1</v>
      </c>
      <c r="D782" s="49">
        <v>1</v>
      </c>
      <c r="E782" s="15">
        <v>5</v>
      </c>
      <c r="F782" s="15">
        <v>5</v>
      </c>
      <c r="G782" s="35">
        <v>1</v>
      </c>
      <c r="H782" t="s">
        <v>354</v>
      </c>
      <c r="I782" t="s">
        <v>355</v>
      </c>
      <c r="J782" t="s">
        <v>347</v>
      </c>
      <c r="K782" t="s">
        <v>38</v>
      </c>
      <c r="L782" t="s">
        <v>356</v>
      </c>
    </row>
    <row r="783" spans="2:12">
      <c r="B783" s="42" t="s">
        <v>227</v>
      </c>
      <c r="C783" s="35">
        <v>1</v>
      </c>
      <c r="D783" s="49">
        <v>1</v>
      </c>
      <c r="E783" s="15">
        <v>5</v>
      </c>
      <c r="F783" s="15">
        <v>5</v>
      </c>
      <c r="G783" s="35">
        <v>1</v>
      </c>
      <c r="H783" t="s">
        <v>354</v>
      </c>
      <c r="I783" t="s">
        <v>38</v>
      </c>
      <c r="J783" t="s">
        <v>347</v>
      </c>
      <c r="K783" t="s">
        <v>38</v>
      </c>
      <c r="L783" t="s">
        <v>38</v>
      </c>
    </row>
    <row r="784" spans="2:12">
      <c r="B784" s="42" t="s">
        <v>155</v>
      </c>
      <c r="C784" s="35">
        <v>5</v>
      </c>
      <c r="D784" s="49">
        <v>1</v>
      </c>
      <c r="E784" s="15">
        <v>5</v>
      </c>
      <c r="F784" s="15">
        <v>5</v>
      </c>
      <c r="G784" s="35">
        <v>1</v>
      </c>
      <c r="H784" t="s">
        <v>354</v>
      </c>
      <c r="I784" t="s">
        <v>38</v>
      </c>
      <c r="J784" t="s">
        <v>347</v>
      </c>
      <c r="K784" t="s">
        <v>38</v>
      </c>
      <c r="L784" t="s">
        <v>38</v>
      </c>
    </row>
    <row r="785" spans="2:12">
      <c r="B785" s="42" t="s">
        <v>133</v>
      </c>
      <c r="C785" s="50">
        <v>1</v>
      </c>
      <c r="D785" s="49">
        <v>1</v>
      </c>
      <c r="E785" s="15">
        <v>5</v>
      </c>
      <c r="F785" s="15">
        <v>5</v>
      </c>
      <c r="G785" s="35">
        <v>1</v>
      </c>
      <c r="H785" t="s">
        <v>354</v>
      </c>
      <c r="I785" t="s">
        <v>38</v>
      </c>
      <c r="J785" t="s">
        <v>347</v>
      </c>
      <c r="K785" t="s">
        <v>38</v>
      </c>
      <c r="L785" t="s">
        <v>38</v>
      </c>
    </row>
    <row r="786" spans="2:12">
      <c r="B786" s="42" t="s">
        <v>139</v>
      </c>
      <c r="C786" s="35">
        <v>1</v>
      </c>
      <c r="D786" s="49"/>
      <c r="E786" s="15">
        <v>5</v>
      </c>
      <c r="F786" s="15">
        <v>5</v>
      </c>
      <c r="G786" s="35"/>
      <c r="H786" t="s">
        <v>354</v>
      </c>
      <c r="I786" t="s">
        <v>38</v>
      </c>
      <c r="J786" t="s">
        <v>347</v>
      </c>
      <c r="K786" t="s">
        <v>38</v>
      </c>
      <c r="L786" t="s">
        <v>38</v>
      </c>
    </row>
    <row r="787" spans="2:12">
      <c r="B787" s="42" t="s">
        <v>223</v>
      </c>
      <c r="C787" s="35">
        <v>1</v>
      </c>
      <c r="D787" s="49"/>
      <c r="E787" s="15">
        <v>5</v>
      </c>
      <c r="F787" s="15">
        <v>5</v>
      </c>
      <c r="G787" s="35"/>
      <c r="H787" t="s">
        <v>354</v>
      </c>
      <c r="I787" t="s">
        <v>38</v>
      </c>
      <c r="J787" t="s">
        <v>347</v>
      </c>
      <c r="K787" t="s">
        <v>38</v>
      </c>
      <c r="L787" t="s">
        <v>38</v>
      </c>
    </row>
    <row r="788" spans="2:12">
      <c r="B788" s="42" t="s">
        <v>224</v>
      </c>
      <c r="C788" s="35">
        <v>1</v>
      </c>
      <c r="D788" s="49"/>
      <c r="E788" s="15">
        <v>5</v>
      </c>
      <c r="F788" s="44"/>
      <c r="G788" s="35"/>
      <c r="H788" t="s">
        <v>354</v>
      </c>
      <c r="I788" t="s">
        <v>38</v>
      </c>
      <c r="J788" t="s">
        <v>347</v>
      </c>
      <c r="K788" t="s">
        <v>38</v>
      </c>
      <c r="L788" t="s">
        <v>38</v>
      </c>
    </row>
    <row r="789" spans="2:12">
      <c r="B789" s="42" t="s">
        <v>129</v>
      </c>
      <c r="C789" s="50">
        <v>6</v>
      </c>
      <c r="D789" s="49"/>
      <c r="E789" s="15">
        <v>5</v>
      </c>
      <c r="F789" s="44"/>
      <c r="G789" s="35"/>
      <c r="H789" t="s">
        <v>38</v>
      </c>
      <c r="I789" t="s">
        <v>38</v>
      </c>
      <c r="J789" t="s">
        <v>38</v>
      </c>
      <c r="K789" t="s">
        <v>38</v>
      </c>
      <c r="L789" t="s">
        <v>38</v>
      </c>
    </row>
    <row r="790" spans="2:12">
      <c r="B790" s="42" t="s">
        <v>130</v>
      </c>
      <c r="C790" s="50">
        <v>6</v>
      </c>
      <c r="D790" s="49"/>
      <c r="E790" s="15">
        <v>5</v>
      </c>
      <c r="F790" s="44"/>
      <c r="G790" s="35"/>
      <c r="H790" t="s">
        <v>38</v>
      </c>
      <c r="I790" t="s">
        <v>38</v>
      </c>
      <c r="J790" t="s">
        <v>38</v>
      </c>
      <c r="K790" t="s">
        <v>38</v>
      </c>
      <c r="L790" t="s">
        <v>38</v>
      </c>
    </row>
    <row r="791" spans="2:12">
      <c r="B791" s="42" t="s">
        <v>129</v>
      </c>
      <c r="C791" s="50">
        <v>22</v>
      </c>
      <c r="D791" s="49"/>
      <c r="E791" s="15">
        <v>5</v>
      </c>
      <c r="F791" s="44"/>
      <c r="G791" s="35"/>
      <c r="H791" t="s">
        <v>354</v>
      </c>
      <c r="I791" t="s">
        <v>38</v>
      </c>
      <c r="J791" t="s">
        <v>38</v>
      </c>
      <c r="K791" t="s">
        <v>38</v>
      </c>
      <c r="L791" t="s">
        <v>38</v>
      </c>
    </row>
    <row r="792" spans="2:12">
      <c r="B792" s="42" t="s">
        <v>130</v>
      </c>
      <c r="C792" s="50">
        <v>22</v>
      </c>
      <c r="D792" s="49"/>
      <c r="E792" s="15">
        <v>5</v>
      </c>
      <c r="F792" s="44"/>
      <c r="G792" s="35"/>
      <c r="H792" t="s">
        <v>354</v>
      </c>
      <c r="I792" t="s">
        <v>38</v>
      </c>
      <c r="J792" t="s">
        <v>38</v>
      </c>
      <c r="K792" t="s">
        <v>38</v>
      </c>
      <c r="L792" t="s">
        <v>38</v>
      </c>
    </row>
    <row r="793" spans="2:12">
      <c r="B793" s="55" t="s">
        <v>38</v>
      </c>
      <c r="C793" s="35">
        <v>1</v>
      </c>
      <c r="D793" s="49"/>
      <c r="E793" s="15"/>
      <c r="F793" s="44"/>
      <c r="G793" s="35"/>
      <c r="H793" t="s">
        <v>38</v>
      </c>
      <c r="I793" t="s">
        <v>38</v>
      </c>
      <c r="J793" t="s">
        <v>38</v>
      </c>
      <c r="K793" t="s">
        <v>38</v>
      </c>
      <c r="L793" t="s">
        <v>38</v>
      </c>
    </row>
    <row r="794" spans="2:12">
      <c r="B794" s="55" t="s">
        <v>38</v>
      </c>
      <c r="C794" s="35">
        <v>1</v>
      </c>
      <c r="D794" s="49"/>
      <c r="E794" s="15"/>
      <c r="F794" s="44"/>
      <c r="G794" s="35"/>
      <c r="H794" t="s">
        <v>38</v>
      </c>
      <c r="I794" t="s">
        <v>38</v>
      </c>
      <c r="J794" t="s">
        <v>38</v>
      </c>
      <c r="K794" t="s">
        <v>38</v>
      </c>
      <c r="L794" t="s">
        <v>38</v>
      </c>
    </row>
    <row r="795" spans="2:12">
      <c r="B795" s="55" t="s">
        <v>38</v>
      </c>
      <c r="C795" s="35">
        <v>1</v>
      </c>
      <c r="D795" s="49"/>
      <c r="E795" s="15"/>
      <c r="F795" s="15"/>
      <c r="G795" s="35"/>
      <c r="H795" t="s">
        <v>38</v>
      </c>
      <c r="I795" t="s">
        <v>38</v>
      </c>
      <c r="J795" t="s">
        <v>38</v>
      </c>
      <c r="K795" t="s">
        <v>38</v>
      </c>
      <c r="L795" t="s">
        <v>38</v>
      </c>
    </row>
    <row r="796" spans="2:12">
      <c r="B796" s="55" t="s">
        <v>38</v>
      </c>
      <c r="C796" s="35">
        <v>1</v>
      </c>
      <c r="D796" s="49"/>
      <c r="E796" s="15"/>
      <c r="F796" s="15"/>
      <c r="G796" s="35"/>
      <c r="H796" t="s">
        <v>38</v>
      </c>
      <c r="I796" t="s">
        <v>38</v>
      </c>
      <c r="J796" t="s">
        <v>38</v>
      </c>
      <c r="K796" t="s">
        <v>38</v>
      </c>
      <c r="L796" t="s">
        <v>38</v>
      </c>
    </row>
    <row r="797" spans="2:12">
      <c r="B797" s="55" t="s">
        <v>38</v>
      </c>
      <c r="C797" s="35">
        <v>1</v>
      </c>
      <c r="D797" s="49"/>
      <c r="E797" s="15"/>
      <c r="F797" s="15"/>
      <c r="G797" s="35"/>
      <c r="H797" t="s">
        <v>38</v>
      </c>
      <c r="I797" t="s">
        <v>38</v>
      </c>
      <c r="J797" t="s">
        <v>38</v>
      </c>
      <c r="K797" t="s">
        <v>38</v>
      </c>
      <c r="L797" t="s">
        <v>38</v>
      </c>
    </row>
    <row r="798" spans="2:12">
      <c r="B798" s="55" t="s">
        <v>38</v>
      </c>
      <c r="C798" s="35">
        <v>1</v>
      </c>
      <c r="D798" s="49"/>
      <c r="E798" s="15"/>
      <c r="F798" s="15"/>
      <c r="G798" s="35"/>
      <c r="H798" t="s">
        <v>38</v>
      </c>
      <c r="I798" t="s">
        <v>38</v>
      </c>
      <c r="J798" t="s">
        <v>38</v>
      </c>
      <c r="K798" t="s">
        <v>38</v>
      </c>
      <c r="L798" t="s">
        <v>38</v>
      </c>
    </row>
    <row r="799" spans="2:12">
      <c r="B799" s="55" t="s">
        <v>38</v>
      </c>
      <c r="C799" s="35">
        <v>1</v>
      </c>
      <c r="D799" s="49"/>
      <c r="E799" s="15"/>
      <c r="F799" s="15"/>
      <c r="G799" s="35"/>
      <c r="H799" t="s">
        <v>38</v>
      </c>
      <c r="I799" t="s">
        <v>38</v>
      </c>
      <c r="J799" t="s">
        <v>38</v>
      </c>
      <c r="K799" t="s">
        <v>38</v>
      </c>
      <c r="L799" t="s">
        <v>38</v>
      </c>
    </row>
    <row r="800" spans="2:12">
      <c r="B800" s="55" t="s">
        <v>38</v>
      </c>
      <c r="C800" s="35">
        <v>1</v>
      </c>
      <c r="D800" s="49"/>
      <c r="E800" s="15"/>
      <c r="F800" s="15"/>
      <c r="G800" s="35"/>
      <c r="H800" t="s">
        <v>38</v>
      </c>
      <c r="I800" t="s">
        <v>38</v>
      </c>
      <c r="J800" t="s">
        <v>38</v>
      </c>
      <c r="K800" t="s">
        <v>38</v>
      </c>
      <c r="L800" t="s">
        <v>38</v>
      </c>
    </row>
    <row r="801" spans="2:12">
      <c r="B801" s="55" t="s">
        <v>38</v>
      </c>
      <c r="C801" s="35">
        <v>1</v>
      </c>
      <c r="D801" s="49"/>
      <c r="E801" s="15"/>
      <c r="F801" s="15"/>
      <c r="G801" s="35"/>
      <c r="H801" t="s">
        <v>38</v>
      </c>
      <c r="I801" t="s">
        <v>38</v>
      </c>
      <c r="J801" t="s">
        <v>38</v>
      </c>
      <c r="K801" t="s">
        <v>38</v>
      </c>
      <c r="L801" t="s">
        <v>38</v>
      </c>
    </row>
    <row r="802" spans="2:12">
      <c r="B802" s="55" t="s">
        <v>38</v>
      </c>
      <c r="C802" s="35">
        <v>1</v>
      </c>
      <c r="D802" s="49"/>
      <c r="E802" s="15"/>
      <c r="F802" s="15"/>
      <c r="G802" s="35"/>
      <c r="H802" t="s">
        <v>38</v>
      </c>
      <c r="I802" t="s">
        <v>38</v>
      </c>
      <c r="J802" t="s">
        <v>38</v>
      </c>
      <c r="K802" t="s">
        <v>38</v>
      </c>
      <c r="L802" t="s">
        <v>38</v>
      </c>
    </row>
    <row r="803" spans="2:12">
      <c r="B803" s="55" t="s">
        <v>38</v>
      </c>
      <c r="C803" s="35">
        <v>1</v>
      </c>
      <c r="D803" s="49"/>
      <c r="E803" s="15"/>
      <c r="F803" s="15"/>
      <c r="G803" s="35"/>
      <c r="H803" t="s">
        <v>38</v>
      </c>
      <c r="I803" t="s">
        <v>38</v>
      </c>
      <c r="J803" t="s">
        <v>38</v>
      </c>
      <c r="K803" t="s">
        <v>38</v>
      </c>
      <c r="L803" t="s">
        <v>38</v>
      </c>
    </row>
    <row r="804" spans="2:12">
      <c r="B804" s="55" t="s">
        <v>38</v>
      </c>
      <c r="C804" s="35">
        <v>1</v>
      </c>
      <c r="D804" s="49"/>
      <c r="E804" s="15"/>
      <c r="F804" s="15"/>
      <c r="G804" s="35"/>
      <c r="H804" t="s">
        <v>38</v>
      </c>
      <c r="I804" t="s">
        <v>38</v>
      </c>
      <c r="J804" t="s">
        <v>38</v>
      </c>
      <c r="K804" t="s">
        <v>38</v>
      </c>
      <c r="L804" t="s">
        <v>38</v>
      </c>
    </row>
    <row r="805" spans="2:12">
      <c r="B805" s="55" t="s">
        <v>38</v>
      </c>
      <c r="C805" s="35">
        <v>1</v>
      </c>
      <c r="D805" s="49"/>
      <c r="E805" s="15"/>
      <c r="F805" s="15"/>
      <c r="G805" s="35"/>
      <c r="H805" t="s">
        <v>38</v>
      </c>
      <c r="I805" t="s">
        <v>38</v>
      </c>
      <c r="J805" t="s">
        <v>38</v>
      </c>
      <c r="K805" t="s">
        <v>38</v>
      </c>
      <c r="L805" t="s">
        <v>38</v>
      </c>
    </row>
    <row r="806" spans="2:12">
      <c r="B806" s="55" t="s">
        <v>38</v>
      </c>
      <c r="C806" s="35">
        <v>1</v>
      </c>
      <c r="D806" s="49"/>
      <c r="E806" s="15"/>
      <c r="F806" s="15"/>
      <c r="G806" s="35"/>
      <c r="H806" t="s">
        <v>38</v>
      </c>
      <c r="I806" t="s">
        <v>38</v>
      </c>
      <c r="J806" t="s">
        <v>38</v>
      </c>
      <c r="K806" t="s">
        <v>38</v>
      </c>
      <c r="L806" t="s">
        <v>38</v>
      </c>
    </row>
    <row r="807" spans="2:12">
      <c r="B807" s="55" t="s">
        <v>38</v>
      </c>
      <c r="C807" s="35">
        <v>1</v>
      </c>
      <c r="D807" s="49"/>
      <c r="E807" s="15"/>
      <c r="F807" s="15"/>
      <c r="G807" s="35"/>
      <c r="H807" t="s">
        <v>38</v>
      </c>
      <c r="I807" t="s">
        <v>38</v>
      </c>
      <c r="J807" t="s">
        <v>38</v>
      </c>
      <c r="K807" t="s">
        <v>38</v>
      </c>
      <c r="L807" t="s">
        <v>38</v>
      </c>
    </row>
    <row r="808" spans="2:12">
      <c r="B808" s="55" t="s">
        <v>38</v>
      </c>
      <c r="C808" s="35">
        <v>1</v>
      </c>
      <c r="D808" s="49"/>
      <c r="E808" s="15"/>
      <c r="F808" s="15"/>
      <c r="G808" s="35"/>
      <c r="H808" t="s">
        <v>38</v>
      </c>
      <c r="I808" t="s">
        <v>38</v>
      </c>
      <c r="J808" t="s">
        <v>38</v>
      </c>
      <c r="K808" t="s">
        <v>38</v>
      </c>
      <c r="L808" t="s">
        <v>38</v>
      </c>
    </row>
    <row r="809" spans="2:12">
      <c r="B809" s="55" t="s">
        <v>38</v>
      </c>
      <c r="C809" s="35">
        <v>1</v>
      </c>
      <c r="D809" s="49"/>
      <c r="E809" s="15"/>
      <c r="F809" s="15"/>
      <c r="G809" s="35"/>
      <c r="H809" t="s">
        <v>38</v>
      </c>
      <c r="I809" t="s">
        <v>38</v>
      </c>
      <c r="J809" t="s">
        <v>38</v>
      </c>
      <c r="K809" t="s">
        <v>38</v>
      </c>
      <c r="L809" t="s">
        <v>38</v>
      </c>
    </row>
    <row r="810" spans="2:12">
      <c r="B810" s="55" t="s">
        <v>38</v>
      </c>
      <c r="C810" s="35">
        <v>1</v>
      </c>
      <c r="D810" s="49"/>
      <c r="E810" s="15"/>
      <c r="F810" s="15"/>
      <c r="G810" s="35"/>
      <c r="H810" t="s">
        <v>38</v>
      </c>
      <c r="I810" t="s">
        <v>38</v>
      </c>
      <c r="J810" t="s">
        <v>38</v>
      </c>
      <c r="K810" t="s">
        <v>38</v>
      </c>
      <c r="L810" t="s">
        <v>38</v>
      </c>
    </row>
    <row r="811" spans="2:12">
      <c r="B811" s="55" t="s">
        <v>38</v>
      </c>
      <c r="C811" s="35">
        <v>1</v>
      </c>
      <c r="D811" s="49"/>
      <c r="E811" s="15"/>
      <c r="F811" s="15"/>
      <c r="G811" s="35"/>
      <c r="H811" t="s">
        <v>38</v>
      </c>
      <c r="I811" t="s">
        <v>38</v>
      </c>
      <c r="J811" t="s">
        <v>38</v>
      </c>
      <c r="K811" t="s">
        <v>38</v>
      </c>
      <c r="L811" t="s">
        <v>38</v>
      </c>
    </row>
    <row r="812" spans="2:12">
      <c r="B812" s="55" t="s">
        <v>38</v>
      </c>
      <c r="C812" s="35">
        <v>1</v>
      </c>
      <c r="D812" s="49"/>
      <c r="E812" s="15"/>
      <c r="F812" s="15"/>
      <c r="G812" s="35"/>
      <c r="H812" t="s">
        <v>38</v>
      </c>
      <c r="I812" t="s">
        <v>38</v>
      </c>
      <c r="J812" t="s">
        <v>38</v>
      </c>
      <c r="K812" t="s">
        <v>38</v>
      </c>
      <c r="L812" t="s">
        <v>38</v>
      </c>
    </row>
    <row r="813" spans="2:12">
      <c r="B813" s="55" t="s">
        <v>38</v>
      </c>
      <c r="C813" s="35">
        <v>1</v>
      </c>
      <c r="D813" s="49"/>
      <c r="E813" s="15"/>
      <c r="F813" s="15"/>
      <c r="G813" s="35"/>
      <c r="H813" t="s">
        <v>38</v>
      </c>
      <c r="I813" t="s">
        <v>38</v>
      </c>
      <c r="J813" t="s">
        <v>38</v>
      </c>
      <c r="K813" t="s">
        <v>38</v>
      </c>
      <c r="L813" t="s">
        <v>38</v>
      </c>
    </row>
    <row r="814" spans="2:12">
      <c r="B814" s="55" t="s">
        <v>38</v>
      </c>
      <c r="C814" s="35">
        <v>1</v>
      </c>
      <c r="D814" s="49"/>
      <c r="E814" s="15"/>
      <c r="F814" s="44"/>
      <c r="G814" s="35"/>
      <c r="H814" t="s">
        <v>38</v>
      </c>
      <c r="I814" t="s">
        <v>38</v>
      </c>
      <c r="J814" t="s">
        <v>38</v>
      </c>
      <c r="K814" t="s">
        <v>38</v>
      </c>
      <c r="L814" t="s">
        <v>38</v>
      </c>
    </row>
    <row r="815" spans="2:12">
      <c r="B815" s="55" t="s">
        <v>38</v>
      </c>
      <c r="C815" s="35">
        <v>1</v>
      </c>
      <c r="D815" s="49"/>
      <c r="E815" s="15"/>
      <c r="F815" s="44"/>
      <c r="G815" s="35"/>
      <c r="H815" t="s">
        <v>38</v>
      </c>
      <c r="I815" t="s">
        <v>38</v>
      </c>
      <c r="J815" t="s">
        <v>38</v>
      </c>
      <c r="K815" t="s">
        <v>38</v>
      </c>
      <c r="L815" t="s">
        <v>38</v>
      </c>
    </row>
    <row r="816" spans="2:12">
      <c r="B816" s="55" t="s">
        <v>38</v>
      </c>
      <c r="C816" s="35">
        <v>1</v>
      </c>
      <c r="D816" s="49"/>
      <c r="E816" s="15"/>
      <c r="F816" s="44"/>
      <c r="G816" s="35"/>
      <c r="H816" t="s">
        <v>38</v>
      </c>
      <c r="I816" t="s">
        <v>38</v>
      </c>
      <c r="J816" t="s">
        <v>38</v>
      </c>
      <c r="K816" t="s">
        <v>38</v>
      </c>
      <c r="L816" t="s">
        <v>38</v>
      </c>
    </row>
    <row r="817" spans="2:12">
      <c r="B817" s="55" t="s">
        <v>38</v>
      </c>
      <c r="C817" s="35">
        <v>1</v>
      </c>
      <c r="D817" s="49"/>
      <c r="E817" s="15"/>
      <c r="F817" s="44"/>
      <c r="G817" s="35"/>
      <c r="H817" t="s">
        <v>38</v>
      </c>
      <c r="I817" t="s">
        <v>38</v>
      </c>
      <c r="J817" t="s">
        <v>38</v>
      </c>
      <c r="K817" t="s">
        <v>38</v>
      </c>
      <c r="L817" t="s">
        <v>38</v>
      </c>
    </row>
    <row r="818" spans="2:12">
      <c r="B818" s="45" t="s">
        <v>38</v>
      </c>
      <c r="C818" s="35">
        <v>1</v>
      </c>
      <c r="D818" s="49"/>
      <c r="E818" s="44"/>
      <c r="F818" s="44"/>
      <c r="G818" s="35"/>
      <c r="H818" t="s">
        <v>38</v>
      </c>
      <c r="I818" t="s">
        <v>38</v>
      </c>
      <c r="J818" t="s">
        <v>38</v>
      </c>
      <c r="K818" t="s">
        <v>38</v>
      </c>
      <c r="L818" t="s">
        <v>38</v>
      </c>
    </row>
    <row r="819" spans="2:12">
      <c r="B819" s="45" t="s">
        <v>38</v>
      </c>
      <c r="C819" s="35">
        <v>1</v>
      </c>
      <c r="D819" s="49"/>
      <c r="E819" s="44"/>
      <c r="F819" s="44"/>
      <c r="G819" s="35"/>
      <c r="H819" t="s">
        <v>38</v>
      </c>
      <c r="I819" t="s">
        <v>38</v>
      </c>
      <c r="J819" t="s">
        <v>38</v>
      </c>
      <c r="K819" t="s">
        <v>38</v>
      </c>
      <c r="L819" t="s">
        <v>38</v>
      </c>
    </row>
    <row r="820" spans="2:12">
      <c r="B820" s="45" t="s">
        <v>38</v>
      </c>
      <c r="C820" s="35">
        <v>1</v>
      </c>
      <c r="D820" s="49"/>
      <c r="E820" s="44"/>
      <c r="F820" s="44"/>
      <c r="G820" s="35"/>
      <c r="H820" t="s">
        <v>38</v>
      </c>
      <c r="I820" t="s">
        <v>38</v>
      </c>
      <c r="J820" t="s">
        <v>38</v>
      </c>
      <c r="K820" t="s">
        <v>38</v>
      </c>
      <c r="L820" t="s">
        <v>38</v>
      </c>
    </row>
    <row r="821" spans="2:12">
      <c r="B821" s="45" t="s">
        <v>38</v>
      </c>
      <c r="C821" s="35">
        <v>1</v>
      </c>
      <c r="D821" s="49"/>
      <c r="E821" s="44"/>
      <c r="F821" s="44"/>
      <c r="G821" s="35"/>
      <c r="H821" t="s">
        <v>38</v>
      </c>
      <c r="I821" t="s">
        <v>38</v>
      </c>
      <c r="J821" t="s">
        <v>38</v>
      </c>
      <c r="K821" t="s">
        <v>38</v>
      </c>
      <c r="L821" t="s">
        <v>38</v>
      </c>
    </row>
    <row r="822" spans="2:12">
      <c r="B822" s="45" t="s">
        <v>38</v>
      </c>
      <c r="C822" s="35">
        <v>1</v>
      </c>
      <c r="D822" s="49"/>
      <c r="E822" s="44"/>
      <c r="F822" s="44"/>
      <c r="G822" s="35"/>
      <c r="H822" t="s">
        <v>38</v>
      </c>
      <c r="I822" t="s">
        <v>38</v>
      </c>
      <c r="J822" t="s">
        <v>38</v>
      </c>
      <c r="K822" t="s">
        <v>38</v>
      </c>
      <c r="L822" t="s">
        <v>38</v>
      </c>
    </row>
    <row r="823" spans="2:12">
      <c r="B823" s="45" t="s">
        <v>38</v>
      </c>
      <c r="C823" s="35">
        <v>1</v>
      </c>
      <c r="D823" s="49"/>
      <c r="E823" s="44"/>
      <c r="F823" s="44"/>
      <c r="G823" s="35"/>
      <c r="H823" t="s">
        <v>38</v>
      </c>
      <c r="I823" t="s">
        <v>38</v>
      </c>
      <c r="J823" t="s">
        <v>38</v>
      </c>
      <c r="K823" t="s">
        <v>38</v>
      </c>
      <c r="L823" t="s">
        <v>38</v>
      </c>
    </row>
    <row r="824" spans="2:12">
      <c r="B824" s="45" t="s">
        <v>38</v>
      </c>
      <c r="C824" s="35">
        <v>1</v>
      </c>
      <c r="D824" s="49"/>
      <c r="E824" s="44"/>
      <c r="F824" s="44"/>
      <c r="G824" s="35"/>
      <c r="H824" t="s">
        <v>38</v>
      </c>
      <c r="I824" t="s">
        <v>38</v>
      </c>
      <c r="J824" t="s">
        <v>38</v>
      </c>
      <c r="K824" t="s">
        <v>38</v>
      </c>
      <c r="L824" t="s">
        <v>38</v>
      </c>
    </row>
    <row r="825" spans="2:12">
      <c r="B825" s="40" t="s">
        <v>38</v>
      </c>
      <c r="C825" s="35">
        <v>1</v>
      </c>
      <c r="D825" s="49"/>
      <c r="E825" s="44"/>
      <c r="F825" s="44"/>
      <c r="G825" s="35"/>
      <c r="H825" t="s">
        <v>38</v>
      </c>
      <c r="I825" t="s">
        <v>38</v>
      </c>
      <c r="J825" t="s">
        <v>38</v>
      </c>
      <c r="K825" t="s">
        <v>38</v>
      </c>
      <c r="L825" t="s">
        <v>38</v>
      </c>
    </row>
    <row r="826" spans="2:12">
      <c r="B826" s="40" t="s">
        <v>38</v>
      </c>
      <c r="C826" s="35">
        <v>1</v>
      </c>
      <c r="D826" s="49"/>
      <c r="E826" s="44"/>
      <c r="F826" s="44"/>
      <c r="G826" s="35"/>
      <c r="H826" t="s">
        <v>38</v>
      </c>
      <c r="I826" t="s">
        <v>38</v>
      </c>
      <c r="J826" t="s">
        <v>38</v>
      </c>
      <c r="K826" t="s">
        <v>38</v>
      </c>
      <c r="L826" t="s">
        <v>38</v>
      </c>
    </row>
    <row r="827" spans="2:12">
      <c r="B827" s="40" t="s">
        <v>38</v>
      </c>
      <c r="C827" s="35">
        <v>1</v>
      </c>
      <c r="D827" s="49"/>
      <c r="E827" s="44"/>
      <c r="F827" s="44"/>
      <c r="G827" s="35"/>
      <c r="H827" t="s">
        <v>38</v>
      </c>
      <c r="I827" t="s">
        <v>38</v>
      </c>
      <c r="J827" t="s">
        <v>38</v>
      </c>
      <c r="K827" t="s">
        <v>38</v>
      </c>
      <c r="L827" t="s">
        <v>38</v>
      </c>
    </row>
    <row r="828" spans="2:12">
      <c r="B828" s="40" t="s">
        <v>38</v>
      </c>
      <c r="C828" s="35">
        <v>1</v>
      </c>
      <c r="D828" s="49"/>
      <c r="E828" s="44"/>
      <c r="F828" s="44"/>
      <c r="G828" s="35"/>
      <c r="H828" t="s">
        <v>38</v>
      </c>
      <c r="I828" t="s">
        <v>38</v>
      </c>
      <c r="J828" t="s">
        <v>38</v>
      </c>
      <c r="K828" t="s">
        <v>38</v>
      </c>
      <c r="L828" t="s">
        <v>38</v>
      </c>
    </row>
    <row r="829" spans="2:12">
      <c r="B829" s="40" t="s">
        <v>38</v>
      </c>
      <c r="C829" s="35">
        <v>1</v>
      </c>
      <c r="D829" s="49"/>
      <c r="E829" s="44"/>
      <c r="F829" s="44"/>
      <c r="G829" s="35"/>
      <c r="H829" t="s">
        <v>38</v>
      </c>
      <c r="I829" t="s">
        <v>38</v>
      </c>
      <c r="J829" t="s">
        <v>38</v>
      </c>
      <c r="K829" t="s">
        <v>38</v>
      </c>
      <c r="L829" t="s">
        <v>38</v>
      </c>
    </row>
    <row r="830" spans="2:12">
      <c r="B830" s="40" t="s">
        <v>38</v>
      </c>
      <c r="C830" s="35">
        <v>1</v>
      </c>
      <c r="D830" s="49"/>
      <c r="E830" s="44"/>
      <c r="F830" s="44"/>
      <c r="G830" s="35"/>
      <c r="H830" t="s">
        <v>38</v>
      </c>
      <c r="I830" t="s">
        <v>38</v>
      </c>
      <c r="J830" t="s">
        <v>38</v>
      </c>
      <c r="K830" t="s">
        <v>38</v>
      </c>
      <c r="L830" t="s">
        <v>38</v>
      </c>
    </row>
    <row r="831" spans="2:12">
      <c r="B831" s="40" t="s">
        <v>38</v>
      </c>
      <c r="C831" s="35">
        <v>1</v>
      </c>
      <c r="D831" s="49"/>
      <c r="E831" s="44"/>
      <c r="F831" s="44"/>
      <c r="G831" s="35"/>
      <c r="H831" t="s">
        <v>38</v>
      </c>
      <c r="I831" t="s">
        <v>38</v>
      </c>
      <c r="J831" t="s">
        <v>38</v>
      </c>
      <c r="K831" t="s">
        <v>38</v>
      </c>
      <c r="L831" t="s">
        <v>38</v>
      </c>
    </row>
    <row r="832" spans="2:12">
      <c r="B832" s="40" t="s">
        <v>38</v>
      </c>
      <c r="C832" s="35">
        <v>1</v>
      </c>
      <c r="D832" s="49"/>
      <c r="E832" s="44"/>
      <c r="F832" s="44"/>
      <c r="G832" s="35"/>
      <c r="H832" t="s">
        <v>38</v>
      </c>
      <c r="I832" t="s">
        <v>38</v>
      </c>
      <c r="J832" t="s">
        <v>38</v>
      </c>
      <c r="K832" t="s">
        <v>38</v>
      </c>
      <c r="L832" t="s">
        <v>38</v>
      </c>
    </row>
    <row r="833" spans="1:16">
      <c r="B833" s="40" t="s">
        <v>38</v>
      </c>
      <c r="C833" s="35">
        <v>1</v>
      </c>
      <c r="D833" s="49"/>
      <c r="E833" s="44"/>
      <c r="F833" s="44"/>
      <c r="G833" s="35"/>
      <c r="H833" t="s">
        <v>38</v>
      </c>
      <c r="I833" t="s">
        <v>38</v>
      </c>
      <c r="J833" t="s">
        <v>38</v>
      </c>
      <c r="K833" t="s">
        <v>38</v>
      </c>
      <c r="L833" t="s">
        <v>38</v>
      </c>
    </row>
    <row r="834" spans="1:16">
      <c r="B834" s="40" t="s">
        <v>38</v>
      </c>
      <c r="C834" s="35">
        <v>1</v>
      </c>
      <c r="D834" s="49"/>
      <c r="E834" s="44"/>
      <c r="F834" s="44"/>
      <c r="G834" s="35"/>
      <c r="H834" t="s">
        <v>38</v>
      </c>
      <c r="I834" t="s">
        <v>38</v>
      </c>
      <c r="J834" t="s">
        <v>38</v>
      </c>
      <c r="K834" t="s">
        <v>38</v>
      </c>
      <c r="L834" t="s">
        <v>38</v>
      </c>
    </row>
    <row r="835" spans="1:16">
      <c r="B835" s="40" t="s">
        <v>38</v>
      </c>
      <c r="C835" s="35">
        <v>1</v>
      </c>
      <c r="D835" s="49"/>
      <c r="E835" s="44"/>
      <c r="F835" s="44"/>
      <c r="G835" s="35"/>
      <c r="H835" t="s">
        <v>38</v>
      </c>
      <c r="I835" t="s">
        <v>38</v>
      </c>
      <c r="J835" t="s">
        <v>38</v>
      </c>
      <c r="K835" t="s">
        <v>38</v>
      </c>
      <c r="L835" t="s">
        <v>38</v>
      </c>
    </row>
    <row r="836" spans="1:16">
      <c r="B836" s="40" t="s">
        <v>38</v>
      </c>
      <c r="C836" s="35">
        <v>1</v>
      </c>
      <c r="D836" s="49"/>
      <c r="E836" s="44"/>
      <c r="F836" s="44"/>
      <c r="G836" s="35"/>
      <c r="H836" t="s">
        <v>38</v>
      </c>
      <c r="I836" t="s">
        <v>38</v>
      </c>
      <c r="J836" t="s">
        <v>38</v>
      </c>
      <c r="K836" t="s">
        <v>38</v>
      </c>
      <c r="L836" t="s">
        <v>38</v>
      </c>
    </row>
    <row r="837" spans="1:16">
      <c r="B837" s="45" t="s">
        <v>38</v>
      </c>
      <c r="C837" s="35">
        <v>1</v>
      </c>
      <c r="D837" s="49"/>
      <c r="E837" s="44"/>
      <c r="F837" s="44"/>
      <c r="G837" s="35"/>
      <c r="H837" t="s">
        <v>38</v>
      </c>
      <c r="I837" t="s">
        <v>38</v>
      </c>
      <c r="J837" t="s">
        <v>38</v>
      </c>
      <c r="K837" t="s">
        <v>38</v>
      </c>
      <c r="L837" t="s">
        <v>38</v>
      </c>
    </row>
    <row r="838" spans="1:16">
      <c r="B838" s="45" t="s">
        <v>38</v>
      </c>
      <c r="C838" s="35">
        <v>1</v>
      </c>
      <c r="D838" s="49"/>
      <c r="E838" s="44"/>
      <c r="F838" s="44"/>
      <c r="G838" s="35"/>
      <c r="H838" t="s">
        <v>38</v>
      </c>
      <c r="I838" t="s">
        <v>38</v>
      </c>
      <c r="J838" t="s">
        <v>38</v>
      </c>
      <c r="K838" t="s">
        <v>38</v>
      </c>
      <c r="L838" t="s">
        <v>38</v>
      </c>
    </row>
    <row r="839" spans="1:16">
      <c r="B839" s="45" t="s">
        <v>38</v>
      </c>
      <c r="C839" s="35">
        <v>1</v>
      </c>
      <c r="D839" s="49"/>
      <c r="E839" s="44"/>
      <c r="F839" s="44"/>
      <c r="G839" s="35"/>
      <c r="H839" t="s">
        <v>38</v>
      </c>
      <c r="I839" t="s">
        <v>38</v>
      </c>
      <c r="J839" t="s">
        <v>38</v>
      </c>
      <c r="K839" t="s">
        <v>38</v>
      </c>
      <c r="L839" t="s">
        <v>38</v>
      </c>
    </row>
    <row r="840" ht="15.15" spans="1:16">
      <c r="B840" s="52" t="s">
        <v>38</v>
      </c>
      <c r="C840" s="35">
        <v>1</v>
      </c>
      <c r="D840" s="54"/>
      <c r="E840" s="47"/>
      <c r="F840" s="47"/>
      <c r="G840" s="38"/>
      <c r="H840" t="s">
        <v>38</v>
      </c>
      <c r="I840" t="s">
        <v>38</v>
      </c>
      <c r="J840" t="s">
        <v>38</v>
      </c>
      <c r="K840" t="s">
        <v>38</v>
      </c>
      <c r="L840" t="s">
        <v>38</v>
      </c>
    </row>
    <row r="841" ht="15.15"/>
    <row r="842" spans="1:16">
      <c r="A842" s="56"/>
      <c r="B842" s="56"/>
      <c r="C842" s="56"/>
      <c r="D842" s="57"/>
      <c r="E842" s="58"/>
      <c r="F842" s="58"/>
      <c r="G842" s="59"/>
      <c r="H842" s="60"/>
      <c r="I842" s="60"/>
      <c r="J842" s="60"/>
      <c r="K842" s="60"/>
      <c r="L842" s="60"/>
    </row>
    <row r="843" spans="1:16">
      <c r="A843" s="56" t="s">
        <v>85</v>
      </c>
      <c r="B843" s="61" t="s">
        <v>244</v>
      </c>
      <c r="C843" s="59">
        <v>1</v>
      </c>
      <c r="D843" s="62"/>
      <c r="E843" s="63">
        <v>0</v>
      </c>
      <c r="F843" s="64"/>
      <c r="G843" s="65"/>
      <c r="H843" s="56" t="s">
        <v>322</v>
      </c>
      <c r="I843" s="56" t="s">
        <v>38</v>
      </c>
      <c r="J843" s="56" t="s">
        <v>38</v>
      </c>
      <c r="K843" s="56" t="s">
        <v>38</v>
      </c>
      <c r="L843" s="56" t="s">
        <v>38</v>
      </c>
      <c r="M843" t="s">
        <v>308</v>
      </c>
      <c r="N843" t="s">
        <v>358</v>
      </c>
      <c r="O843">
        <v>42</v>
      </c>
      <c r="P843" s="56">
        <v>38533.51</v>
      </c>
    </row>
    <row r="844" spans="1:16">
      <c r="A844" s="56"/>
      <c r="B844" s="66" t="s">
        <v>246</v>
      </c>
      <c r="C844" s="65">
        <v>1</v>
      </c>
      <c r="D844" s="62"/>
      <c r="E844" s="63">
        <v>1</v>
      </c>
      <c r="F844" s="64"/>
      <c r="G844" s="65"/>
      <c r="H844" s="56" t="s">
        <v>322</v>
      </c>
      <c r="I844" s="56" t="s">
        <v>359</v>
      </c>
      <c r="J844" s="56" t="s">
        <v>38</v>
      </c>
      <c r="K844" s="56" t="s">
        <v>38</v>
      </c>
      <c r="L844" s="56" t="s">
        <v>38</v>
      </c>
      <c r="M844" t="s">
        <v>308</v>
      </c>
      <c r="N844" t="s">
        <v>358</v>
      </c>
    </row>
    <row r="845" spans="1:16">
      <c r="A845" s="56"/>
      <c r="B845" s="66" t="s">
        <v>155</v>
      </c>
      <c r="C845" s="65">
        <v>1</v>
      </c>
      <c r="D845" s="62"/>
      <c r="E845" s="63">
        <v>1</v>
      </c>
      <c r="F845" s="64"/>
      <c r="G845" s="65"/>
      <c r="H845" s="56" t="s">
        <v>322</v>
      </c>
      <c r="I845" s="56" t="s">
        <v>359</v>
      </c>
      <c r="J845" s="56" t="s">
        <v>38</v>
      </c>
      <c r="K845" s="56" t="s">
        <v>38</v>
      </c>
      <c r="L845" s="56" t="s">
        <v>38</v>
      </c>
      <c r="N845" t="s">
        <v>358</v>
      </c>
    </row>
    <row r="846" spans="1:16">
      <c r="A846" s="56"/>
      <c r="B846" s="66" t="s">
        <v>239</v>
      </c>
      <c r="C846" s="65">
        <v>1</v>
      </c>
      <c r="D846" s="62"/>
      <c r="E846" s="63">
        <v>1</v>
      </c>
      <c r="F846" s="64"/>
      <c r="G846" s="65"/>
      <c r="H846" s="56" t="s">
        <v>322</v>
      </c>
      <c r="I846" s="56" t="s">
        <v>316</v>
      </c>
      <c r="J846" s="56" t="s">
        <v>38</v>
      </c>
      <c r="K846" s="56" t="s">
        <v>38</v>
      </c>
      <c r="L846" s="56" t="s">
        <v>38</v>
      </c>
      <c r="N846" t="s">
        <v>358</v>
      </c>
    </row>
    <row r="847" spans="1:16">
      <c r="A847" s="56"/>
      <c r="B847" s="66" t="s">
        <v>240</v>
      </c>
      <c r="C847" s="65">
        <v>1</v>
      </c>
      <c r="D847" s="62"/>
      <c r="E847" s="63">
        <v>1</v>
      </c>
      <c r="F847" s="64"/>
      <c r="G847" s="65"/>
      <c r="H847" s="56" t="s">
        <v>322</v>
      </c>
      <c r="I847" s="56" t="s">
        <v>316</v>
      </c>
      <c r="J847" s="56" t="s">
        <v>38</v>
      </c>
      <c r="K847" s="56" t="s">
        <v>38</v>
      </c>
      <c r="L847" s="56" t="s">
        <v>38</v>
      </c>
      <c r="N847" t="s">
        <v>358</v>
      </c>
    </row>
    <row r="848" spans="1:16">
      <c r="A848" s="56"/>
      <c r="B848" s="66" t="s">
        <v>241</v>
      </c>
      <c r="C848" s="65">
        <v>1</v>
      </c>
      <c r="D848" s="62"/>
      <c r="E848" s="63">
        <v>1</v>
      </c>
      <c r="F848" s="64"/>
      <c r="G848" s="65"/>
      <c r="H848" s="56" t="s">
        <v>322</v>
      </c>
      <c r="I848" s="56" t="s">
        <v>316</v>
      </c>
      <c r="J848" s="56" t="s">
        <v>38</v>
      </c>
      <c r="K848" s="56" t="s">
        <v>38</v>
      </c>
      <c r="L848" s="56" t="s">
        <v>38</v>
      </c>
      <c r="N848" t="s">
        <v>358</v>
      </c>
    </row>
    <row r="849" spans="1:14">
      <c r="A849" s="56"/>
      <c r="B849" s="66" t="s">
        <v>238</v>
      </c>
      <c r="C849" s="65">
        <v>1</v>
      </c>
      <c r="D849" s="62"/>
      <c r="E849" s="63">
        <v>2</v>
      </c>
      <c r="F849" s="64"/>
      <c r="G849" s="65"/>
      <c r="H849" s="56" t="s">
        <v>322</v>
      </c>
      <c r="I849" s="56" t="s">
        <v>316</v>
      </c>
      <c r="J849" s="56" t="s">
        <v>360</v>
      </c>
      <c r="K849" s="56" t="s">
        <v>38</v>
      </c>
      <c r="L849" s="56" t="s">
        <v>38</v>
      </c>
      <c r="N849" t="s">
        <v>358</v>
      </c>
    </row>
    <row r="850" spans="1:14">
      <c r="A850" s="56"/>
      <c r="B850" s="66" t="s">
        <v>246</v>
      </c>
      <c r="C850" s="65">
        <v>1</v>
      </c>
      <c r="D850" s="62"/>
      <c r="E850" s="63">
        <v>2</v>
      </c>
      <c r="F850" s="64"/>
      <c r="G850" s="65"/>
      <c r="H850" s="56" t="s">
        <v>322</v>
      </c>
      <c r="I850" s="56" t="s">
        <v>315</v>
      </c>
      <c r="J850" s="56" t="s">
        <v>360</v>
      </c>
      <c r="K850" s="56" t="s">
        <v>361</v>
      </c>
      <c r="L850" s="56" t="s">
        <v>38</v>
      </c>
      <c r="M850" t="s">
        <v>308</v>
      </c>
      <c r="N850" t="s">
        <v>358</v>
      </c>
    </row>
    <row r="851" spans="1:14">
      <c r="A851" s="56"/>
      <c r="B851" s="66" t="s">
        <v>247</v>
      </c>
      <c r="C851" s="65">
        <v>1</v>
      </c>
      <c r="D851" s="62"/>
      <c r="E851" s="63">
        <v>2</v>
      </c>
      <c r="F851" s="64"/>
      <c r="G851" s="65"/>
      <c r="H851" s="56" t="s">
        <v>322</v>
      </c>
      <c r="I851" s="56" t="s">
        <v>315</v>
      </c>
      <c r="J851" s="56" t="s">
        <v>360</v>
      </c>
      <c r="K851" s="56" t="s">
        <v>361</v>
      </c>
      <c r="L851" s="56" t="s">
        <v>362</v>
      </c>
      <c r="M851" t="s">
        <v>308</v>
      </c>
      <c r="N851" t="s">
        <v>358</v>
      </c>
    </row>
    <row r="852" spans="1:14">
      <c r="A852" s="56"/>
      <c r="B852" s="66" t="s">
        <v>248</v>
      </c>
      <c r="C852" s="65">
        <v>1</v>
      </c>
      <c r="D852" s="62"/>
      <c r="E852" s="63">
        <v>3</v>
      </c>
      <c r="F852" s="64"/>
      <c r="G852" s="65"/>
      <c r="H852" s="56" t="s">
        <v>322</v>
      </c>
      <c r="I852" s="56" t="s">
        <v>315</v>
      </c>
      <c r="J852" s="56" t="s">
        <v>360</v>
      </c>
      <c r="K852" s="56" t="s">
        <v>361</v>
      </c>
      <c r="L852" s="56" t="s">
        <v>362</v>
      </c>
      <c r="M852" t="s">
        <v>308</v>
      </c>
      <c r="N852" t="s">
        <v>358</v>
      </c>
    </row>
    <row r="853" spans="1:14">
      <c r="A853" s="56"/>
      <c r="B853" s="66" t="s">
        <v>155</v>
      </c>
      <c r="C853" s="65">
        <v>1</v>
      </c>
      <c r="D853" s="62"/>
      <c r="E853" s="63">
        <v>3</v>
      </c>
      <c r="F853" s="64"/>
      <c r="G853" s="65"/>
      <c r="H853" s="56" t="s">
        <v>322</v>
      </c>
      <c r="I853" s="56" t="s">
        <v>316</v>
      </c>
      <c r="J853" s="56" t="s">
        <v>360</v>
      </c>
      <c r="K853" s="56" t="s">
        <v>361</v>
      </c>
      <c r="L853" s="56" t="s">
        <v>38</v>
      </c>
      <c r="N853" t="s">
        <v>358</v>
      </c>
    </row>
    <row r="854" spans="1:14">
      <c r="A854" s="56"/>
      <c r="B854" s="66" t="s">
        <v>232</v>
      </c>
      <c r="C854" s="65">
        <v>1</v>
      </c>
      <c r="D854" s="62"/>
      <c r="E854" s="63">
        <v>3</v>
      </c>
      <c r="F854" s="64"/>
      <c r="G854" s="65"/>
      <c r="H854" s="56" t="s">
        <v>322</v>
      </c>
      <c r="I854" s="56" t="s">
        <v>316</v>
      </c>
      <c r="J854" s="56" t="s">
        <v>360</v>
      </c>
      <c r="K854" s="56" t="s">
        <v>361</v>
      </c>
      <c r="L854" s="56" t="s">
        <v>362</v>
      </c>
      <c r="N854" t="s">
        <v>358</v>
      </c>
    </row>
    <row r="855" spans="1:14">
      <c r="A855" s="56"/>
      <c r="B855" s="66" t="s">
        <v>233</v>
      </c>
      <c r="C855" s="65">
        <v>1</v>
      </c>
      <c r="D855" s="62"/>
      <c r="E855" s="63">
        <v>4</v>
      </c>
      <c r="F855" s="64"/>
      <c r="G855" s="65"/>
      <c r="H855" s="56" t="s">
        <v>322</v>
      </c>
      <c r="I855" s="56" t="s">
        <v>316</v>
      </c>
      <c r="J855" s="56" t="s">
        <v>360</v>
      </c>
      <c r="K855" s="56" t="s">
        <v>361</v>
      </c>
      <c r="L855" s="56" t="s">
        <v>362</v>
      </c>
      <c r="N855" t="s">
        <v>358</v>
      </c>
    </row>
    <row r="856" spans="1:14">
      <c r="A856" s="56"/>
      <c r="B856" s="66" t="s">
        <v>247</v>
      </c>
      <c r="C856" s="65">
        <v>1</v>
      </c>
      <c r="D856" s="62"/>
      <c r="E856" s="63">
        <v>4</v>
      </c>
      <c r="F856" s="64"/>
      <c r="G856" s="65"/>
      <c r="H856" s="56" t="s">
        <v>322</v>
      </c>
      <c r="I856" s="56" t="s">
        <v>315</v>
      </c>
      <c r="J856" s="56" t="s">
        <v>360</v>
      </c>
      <c r="K856" s="56" t="s">
        <v>361</v>
      </c>
      <c r="L856" s="56" t="s">
        <v>362</v>
      </c>
      <c r="M856" t="s">
        <v>308</v>
      </c>
      <c r="N856" t="s">
        <v>358</v>
      </c>
    </row>
    <row r="857" spans="1:14">
      <c r="A857" s="56"/>
      <c r="B857" s="66" t="s">
        <v>248</v>
      </c>
      <c r="C857" s="65">
        <v>1</v>
      </c>
      <c r="D857" s="62"/>
      <c r="E857" s="63">
        <v>4</v>
      </c>
      <c r="F857" s="64"/>
      <c r="G857" s="65"/>
      <c r="H857" s="56" t="s">
        <v>322</v>
      </c>
      <c r="I857" s="56" t="s">
        <v>315</v>
      </c>
      <c r="J857" s="56" t="s">
        <v>360</v>
      </c>
      <c r="K857" s="56" t="s">
        <v>361</v>
      </c>
      <c r="L857" s="56" t="s">
        <v>362</v>
      </c>
      <c r="M857" t="s">
        <v>308</v>
      </c>
      <c r="N857" t="s">
        <v>358</v>
      </c>
    </row>
    <row r="858" spans="1:14">
      <c r="A858" s="56"/>
      <c r="B858" s="66" t="s">
        <v>232</v>
      </c>
      <c r="C858" s="65">
        <v>1</v>
      </c>
      <c r="D858" s="62"/>
      <c r="E858" s="63">
        <v>4</v>
      </c>
      <c r="F858" s="64"/>
      <c r="G858" s="65"/>
      <c r="H858" s="56" t="s">
        <v>322</v>
      </c>
      <c r="I858" s="56" t="s">
        <v>316</v>
      </c>
      <c r="J858" s="56" t="s">
        <v>360</v>
      </c>
      <c r="K858" s="56" t="s">
        <v>361</v>
      </c>
      <c r="L858" s="56" t="s">
        <v>362</v>
      </c>
      <c r="N858" t="s">
        <v>358</v>
      </c>
    </row>
    <row r="859" spans="1:14">
      <c r="A859" s="56"/>
      <c r="B859" s="66" t="s">
        <v>233</v>
      </c>
      <c r="C859" s="65">
        <v>1</v>
      </c>
      <c r="D859" s="62"/>
      <c r="E859" s="63">
        <v>5</v>
      </c>
      <c r="F859" s="64"/>
      <c r="G859" s="65"/>
      <c r="H859" s="56" t="s">
        <v>322</v>
      </c>
      <c r="I859" s="56" t="s">
        <v>316</v>
      </c>
      <c r="J859" s="56" t="s">
        <v>360</v>
      </c>
      <c r="K859" s="56" t="s">
        <v>361</v>
      </c>
      <c r="L859" s="56" t="s">
        <v>362</v>
      </c>
      <c r="N859" t="s">
        <v>358</v>
      </c>
    </row>
    <row r="860" spans="1:14">
      <c r="A860" s="56"/>
      <c r="B860" s="66" t="s">
        <v>155</v>
      </c>
      <c r="C860" s="65">
        <v>1</v>
      </c>
      <c r="D860" s="62"/>
      <c r="E860" s="63">
        <v>5</v>
      </c>
      <c r="F860" s="64"/>
      <c r="G860" s="65"/>
      <c r="H860" s="56" t="s">
        <v>322</v>
      </c>
      <c r="I860" s="56" t="s">
        <v>316</v>
      </c>
      <c r="J860" s="56" t="s">
        <v>360</v>
      </c>
      <c r="K860" s="56" t="s">
        <v>361</v>
      </c>
      <c r="L860" s="56" t="s">
        <v>38</v>
      </c>
      <c r="N860" t="s">
        <v>358</v>
      </c>
    </row>
    <row r="861" spans="1:14">
      <c r="A861" s="56"/>
      <c r="B861" s="66" t="s">
        <v>133</v>
      </c>
      <c r="C861" s="67">
        <v>1</v>
      </c>
      <c r="D861" s="62"/>
      <c r="E861" s="63">
        <v>5</v>
      </c>
      <c r="F861" s="64"/>
      <c r="G861" s="65"/>
      <c r="H861" s="56" t="s">
        <v>322</v>
      </c>
      <c r="I861" s="56" t="s">
        <v>316</v>
      </c>
      <c r="J861" s="56" t="s">
        <v>360</v>
      </c>
      <c r="K861" s="56" t="s">
        <v>361</v>
      </c>
      <c r="L861" s="56" t="s">
        <v>38</v>
      </c>
      <c r="N861" t="s">
        <v>358</v>
      </c>
    </row>
    <row r="862" spans="1:14">
      <c r="A862" s="56"/>
      <c r="B862" s="66" t="s">
        <v>155</v>
      </c>
      <c r="C862" s="65">
        <v>1</v>
      </c>
      <c r="D862" s="62"/>
      <c r="E862" s="63">
        <v>5</v>
      </c>
      <c r="F862" s="64"/>
      <c r="G862" s="65"/>
      <c r="H862" s="56" t="s">
        <v>322</v>
      </c>
      <c r="I862" s="56" t="s">
        <v>316</v>
      </c>
      <c r="J862" s="56" t="s">
        <v>360</v>
      </c>
      <c r="K862" s="56" t="s">
        <v>361</v>
      </c>
      <c r="L862" s="56" t="s">
        <v>38</v>
      </c>
      <c r="N862" t="s">
        <v>358</v>
      </c>
    </row>
    <row r="863" spans="1:14">
      <c r="A863" s="56"/>
      <c r="B863" s="66" t="s">
        <v>247</v>
      </c>
      <c r="C863" s="65">
        <v>1</v>
      </c>
      <c r="D863" s="62"/>
      <c r="E863" s="63">
        <v>5</v>
      </c>
      <c r="F863" s="64"/>
      <c r="G863" s="65"/>
      <c r="H863" s="56" t="s">
        <v>322</v>
      </c>
      <c r="I863" s="56" t="s">
        <v>315</v>
      </c>
      <c r="J863" s="56" t="s">
        <v>360</v>
      </c>
      <c r="K863" s="56" t="s">
        <v>361</v>
      </c>
      <c r="L863" s="56" t="s">
        <v>362</v>
      </c>
      <c r="M863" t="s">
        <v>308</v>
      </c>
      <c r="N863" t="s">
        <v>358</v>
      </c>
    </row>
    <row r="864" spans="1:14">
      <c r="A864" s="56"/>
      <c r="B864" s="66" t="s">
        <v>248</v>
      </c>
      <c r="C864" s="65">
        <v>1</v>
      </c>
      <c r="D864" s="62"/>
      <c r="E864" s="63">
        <v>5</v>
      </c>
      <c r="F864" s="64"/>
      <c r="G864" s="65"/>
      <c r="H864" s="56" t="s">
        <v>322</v>
      </c>
      <c r="I864" s="56" t="s">
        <v>315</v>
      </c>
      <c r="J864" s="56" t="s">
        <v>360</v>
      </c>
      <c r="K864" s="56" t="s">
        <v>361</v>
      </c>
      <c r="L864" s="56" t="s">
        <v>362</v>
      </c>
      <c r="M864" t="s">
        <v>308</v>
      </c>
      <c r="N864" t="s">
        <v>358</v>
      </c>
    </row>
    <row r="865" spans="1:14">
      <c r="A865" s="56"/>
      <c r="B865" s="66" t="s">
        <v>232</v>
      </c>
      <c r="C865" s="65">
        <v>1</v>
      </c>
      <c r="D865" s="62"/>
      <c r="E865" s="63">
        <v>5</v>
      </c>
      <c r="F865" s="64"/>
      <c r="G865" s="65"/>
      <c r="H865" s="56" t="s">
        <v>322</v>
      </c>
      <c r="I865" s="56" t="s">
        <v>316</v>
      </c>
      <c r="J865" s="56" t="s">
        <v>360</v>
      </c>
      <c r="K865" s="56" t="s">
        <v>361</v>
      </c>
      <c r="L865" s="56" t="s">
        <v>362</v>
      </c>
      <c r="N865" t="s">
        <v>358</v>
      </c>
    </row>
    <row r="866" spans="1:14">
      <c r="A866" s="56"/>
      <c r="B866" s="66" t="s">
        <v>233</v>
      </c>
      <c r="C866" s="65">
        <v>1</v>
      </c>
      <c r="D866" s="62"/>
      <c r="E866" s="63">
        <v>5</v>
      </c>
      <c r="F866" s="64"/>
      <c r="G866" s="65"/>
      <c r="H866" s="56" t="s">
        <v>322</v>
      </c>
      <c r="I866" s="56" t="s">
        <v>316</v>
      </c>
      <c r="J866" s="56" t="s">
        <v>360</v>
      </c>
      <c r="K866" s="56" t="s">
        <v>361</v>
      </c>
      <c r="L866" s="56" t="s">
        <v>362</v>
      </c>
      <c r="N866" t="s">
        <v>358</v>
      </c>
    </row>
    <row r="867" spans="1:14">
      <c r="A867" s="56"/>
      <c r="B867" s="66" t="s">
        <v>247</v>
      </c>
      <c r="C867" s="65">
        <v>1</v>
      </c>
      <c r="D867" s="62"/>
      <c r="E867" s="63">
        <v>5</v>
      </c>
      <c r="F867" s="64"/>
      <c r="G867" s="65"/>
      <c r="H867" s="56" t="s">
        <v>322</v>
      </c>
      <c r="I867" s="56" t="s">
        <v>38</v>
      </c>
      <c r="J867" s="56" t="s">
        <v>38</v>
      </c>
      <c r="K867" s="56" t="s">
        <v>361</v>
      </c>
      <c r="L867" s="56" t="s">
        <v>362</v>
      </c>
      <c r="M867" t="s">
        <v>308</v>
      </c>
      <c r="N867" t="s">
        <v>358</v>
      </c>
    </row>
    <row r="868" spans="1:14">
      <c r="A868" s="56"/>
      <c r="B868" s="66" t="s">
        <v>248</v>
      </c>
      <c r="C868" s="65">
        <v>1</v>
      </c>
      <c r="D868" s="62"/>
      <c r="E868" s="63">
        <v>5</v>
      </c>
      <c r="F868" s="64"/>
      <c r="G868" s="65"/>
      <c r="H868" s="56" t="s">
        <v>322</v>
      </c>
      <c r="I868" s="56" t="s">
        <v>38</v>
      </c>
      <c r="J868" s="56" t="s">
        <v>38</v>
      </c>
      <c r="K868" s="56" t="s">
        <v>361</v>
      </c>
      <c r="L868" s="56" t="s">
        <v>38</v>
      </c>
      <c r="M868" t="s">
        <v>308</v>
      </c>
      <c r="N868" t="s">
        <v>358</v>
      </c>
    </row>
    <row r="869" spans="1:14">
      <c r="A869" s="56"/>
      <c r="B869" s="66" t="s">
        <v>155</v>
      </c>
      <c r="C869" s="65">
        <v>1</v>
      </c>
      <c r="D869" s="62"/>
      <c r="E869" s="63">
        <v>5</v>
      </c>
      <c r="F869" s="64"/>
      <c r="G869" s="65"/>
      <c r="H869" s="56" t="s">
        <v>322</v>
      </c>
      <c r="I869" s="56" t="s">
        <v>38</v>
      </c>
      <c r="J869" s="56" t="s">
        <v>38</v>
      </c>
      <c r="K869" s="56" t="s">
        <v>361</v>
      </c>
      <c r="L869" s="56" t="s">
        <v>38</v>
      </c>
      <c r="N869" t="s">
        <v>358</v>
      </c>
    </row>
    <row r="870" spans="1:14">
      <c r="A870" s="56"/>
      <c r="B870" s="66" t="s">
        <v>232</v>
      </c>
      <c r="C870" s="65">
        <v>1</v>
      </c>
      <c r="D870" s="62"/>
      <c r="E870" s="63">
        <v>5</v>
      </c>
      <c r="F870" s="63"/>
      <c r="G870" s="65"/>
      <c r="H870" s="56" t="s">
        <v>322</v>
      </c>
      <c r="I870" s="56" t="s">
        <v>38</v>
      </c>
      <c r="J870" s="56" t="s">
        <v>38</v>
      </c>
      <c r="K870" s="56" t="s">
        <v>361</v>
      </c>
      <c r="L870" s="56" t="s">
        <v>38</v>
      </c>
      <c r="N870" t="s">
        <v>358</v>
      </c>
    </row>
    <row r="871" spans="1:14">
      <c r="A871" s="56"/>
      <c r="B871" s="66" t="s">
        <v>233</v>
      </c>
      <c r="C871" s="65">
        <v>1</v>
      </c>
      <c r="D871" s="62"/>
      <c r="E871" s="63">
        <v>5</v>
      </c>
      <c r="F871" s="63"/>
      <c r="G871" s="65"/>
      <c r="H871" s="56" t="s">
        <v>322</v>
      </c>
      <c r="I871" s="56" t="s">
        <v>38</v>
      </c>
      <c r="J871" s="56" t="s">
        <v>38</v>
      </c>
      <c r="K871" s="56" t="s">
        <v>361</v>
      </c>
      <c r="L871" s="56" t="s">
        <v>38</v>
      </c>
      <c r="N871" t="s">
        <v>358</v>
      </c>
    </row>
    <row r="872" spans="1:14">
      <c r="A872" s="56"/>
      <c r="B872" s="66" t="s">
        <v>228</v>
      </c>
      <c r="C872" s="65">
        <v>1</v>
      </c>
      <c r="D872" s="62"/>
      <c r="E872" s="63">
        <v>5</v>
      </c>
      <c r="F872" s="63"/>
      <c r="G872" s="65"/>
      <c r="H872" s="56" t="s">
        <v>322</v>
      </c>
      <c r="I872" s="56" t="s">
        <v>38</v>
      </c>
      <c r="J872" s="56" t="s">
        <v>38</v>
      </c>
      <c r="K872" s="56" t="s">
        <v>361</v>
      </c>
      <c r="L872" s="56" t="s">
        <v>38</v>
      </c>
      <c r="N872" t="s">
        <v>358</v>
      </c>
    </row>
    <row r="873" spans="1:14">
      <c r="A873" s="56"/>
      <c r="B873" s="66" t="s">
        <v>249</v>
      </c>
      <c r="C873" s="65">
        <v>1</v>
      </c>
      <c r="D873" s="62"/>
      <c r="E873" s="63">
        <v>5</v>
      </c>
      <c r="F873" s="63"/>
      <c r="G873" s="65"/>
      <c r="H873" s="56" t="s">
        <v>322</v>
      </c>
      <c r="I873" s="56" t="s">
        <v>38</v>
      </c>
      <c r="J873" s="56" t="s">
        <v>38</v>
      </c>
      <c r="K873" s="56" t="s">
        <v>38</v>
      </c>
      <c r="L873" s="56" t="s">
        <v>38</v>
      </c>
      <c r="M873" t="s">
        <v>308</v>
      </c>
      <c r="N873" t="s">
        <v>358</v>
      </c>
    </row>
    <row r="874" spans="1:14">
      <c r="A874" s="56"/>
      <c r="B874" s="66" t="s">
        <v>148</v>
      </c>
      <c r="C874" s="65">
        <v>1</v>
      </c>
      <c r="D874" s="62"/>
      <c r="E874" s="63">
        <v>5</v>
      </c>
      <c r="F874" s="63"/>
      <c r="G874" s="65"/>
      <c r="H874" s="56" t="s">
        <v>322</v>
      </c>
      <c r="I874" s="56" t="s">
        <v>38</v>
      </c>
      <c r="J874" s="56" t="s">
        <v>38</v>
      </c>
      <c r="K874" s="56" t="s">
        <v>38</v>
      </c>
      <c r="L874" s="56" t="s">
        <v>38</v>
      </c>
      <c r="N874" t="s">
        <v>358</v>
      </c>
    </row>
    <row r="875" spans="1:14">
      <c r="A875" s="56"/>
      <c r="B875" s="66" t="s">
        <v>155</v>
      </c>
      <c r="C875" s="65">
        <v>1</v>
      </c>
      <c r="D875" s="62"/>
      <c r="E875" s="63">
        <v>5</v>
      </c>
      <c r="F875" s="63"/>
      <c r="G875" s="65"/>
      <c r="H875" s="56" t="s">
        <v>322</v>
      </c>
      <c r="I875" s="56" t="s">
        <v>38</v>
      </c>
      <c r="J875" s="56" t="s">
        <v>38</v>
      </c>
      <c r="K875" s="56" t="s">
        <v>38</v>
      </c>
      <c r="L875" s="56" t="s">
        <v>38</v>
      </c>
      <c r="N875" t="s">
        <v>358</v>
      </c>
    </row>
    <row r="876" spans="1:14">
      <c r="A876" s="56"/>
      <c r="B876" s="66" t="s">
        <v>150</v>
      </c>
      <c r="C876" s="65">
        <v>1</v>
      </c>
      <c r="D876" s="62"/>
      <c r="E876" s="63">
        <v>5</v>
      </c>
      <c r="F876" s="63"/>
      <c r="G876" s="65"/>
      <c r="H876" s="56" t="s">
        <v>38</v>
      </c>
      <c r="I876" s="56" t="s">
        <v>38</v>
      </c>
      <c r="J876" s="56" t="s">
        <v>38</v>
      </c>
      <c r="K876" s="56" t="s">
        <v>38</v>
      </c>
      <c r="L876" s="56" t="s">
        <v>38</v>
      </c>
      <c r="N876" t="s">
        <v>358</v>
      </c>
    </row>
    <row r="877" spans="1:14">
      <c r="A877" s="56"/>
      <c r="B877" s="66" t="s">
        <v>250</v>
      </c>
      <c r="C877" s="65">
        <v>1</v>
      </c>
      <c r="D877" s="62"/>
      <c r="E877" s="63">
        <v>5</v>
      </c>
      <c r="F877" s="63"/>
      <c r="G877" s="65"/>
      <c r="H877" s="56" t="s">
        <v>38</v>
      </c>
      <c r="I877" s="56" t="s">
        <v>38</v>
      </c>
      <c r="J877" s="56" t="s">
        <v>38</v>
      </c>
      <c r="K877" s="56" t="s">
        <v>38</v>
      </c>
      <c r="L877" s="56" t="s">
        <v>38</v>
      </c>
      <c r="N877" t="s">
        <v>358</v>
      </c>
    </row>
    <row r="878" spans="1:14">
      <c r="A878" s="56"/>
      <c r="B878" s="66" t="s">
        <v>236</v>
      </c>
      <c r="C878" s="65">
        <v>1</v>
      </c>
      <c r="D878" s="62"/>
      <c r="E878" s="63">
        <v>5</v>
      </c>
      <c r="F878" s="63"/>
      <c r="G878" s="65"/>
      <c r="H878" s="56" t="s">
        <v>38</v>
      </c>
      <c r="I878" s="56" t="s">
        <v>38</v>
      </c>
      <c r="J878" s="56" t="s">
        <v>38</v>
      </c>
      <c r="K878" s="56" t="s">
        <v>38</v>
      </c>
      <c r="L878" s="56" t="s">
        <v>38</v>
      </c>
      <c r="N878" t="s">
        <v>358</v>
      </c>
    </row>
    <row r="879" spans="1:14">
      <c r="A879" s="56"/>
      <c r="B879" s="66" t="s">
        <v>244</v>
      </c>
      <c r="C879" s="65">
        <v>1</v>
      </c>
      <c r="D879" s="62"/>
      <c r="E879" s="63">
        <v>5</v>
      </c>
      <c r="F879" s="63"/>
      <c r="G879" s="65"/>
      <c r="H879" s="56" t="s">
        <v>38</v>
      </c>
      <c r="I879" s="56" t="s">
        <v>38</v>
      </c>
      <c r="J879" s="56" t="s">
        <v>38</v>
      </c>
      <c r="K879" s="56" t="s">
        <v>38</v>
      </c>
      <c r="L879" s="56" t="s">
        <v>38</v>
      </c>
      <c r="M879" t="s">
        <v>308</v>
      </c>
      <c r="N879" t="s">
        <v>358</v>
      </c>
    </row>
    <row r="880" spans="1:14">
      <c r="A880" s="56"/>
      <c r="B880" s="66" t="s">
        <v>246</v>
      </c>
      <c r="C880" s="65">
        <v>1</v>
      </c>
      <c r="D880" s="62"/>
      <c r="E880" s="63">
        <v>5</v>
      </c>
      <c r="F880" s="63"/>
      <c r="G880" s="65">
        <v>1</v>
      </c>
      <c r="H880" s="56" t="s">
        <v>38</v>
      </c>
      <c r="I880" s="56" t="s">
        <v>359</v>
      </c>
      <c r="J880" s="56" t="s">
        <v>38</v>
      </c>
      <c r="K880" s="56" t="s">
        <v>38</v>
      </c>
      <c r="L880" s="56" t="s">
        <v>38</v>
      </c>
      <c r="M880" t="s">
        <v>308</v>
      </c>
      <c r="N880" t="s">
        <v>358</v>
      </c>
    </row>
    <row r="881" spans="1:14">
      <c r="A881" s="56"/>
      <c r="B881" s="66" t="s">
        <v>242</v>
      </c>
      <c r="C881" s="65">
        <v>1</v>
      </c>
      <c r="D881" s="62"/>
      <c r="E881" s="63">
        <v>5</v>
      </c>
      <c r="F881" s="63"/>
      <c r="G881" s="65">
        <v>1</v>
      </c>
      <c r="H881" s="56" t="s">
        <v>38</v>
      </c>
      <c r="I881" s="56" t="s">
        <v>316</v>
      </c>
      <c r="J881" s="56" t="s">
        <v>38</v>
      </c>
      <c r="K881" s="56" t="s">
        <v>38</v>
      </c>
      <c r="L881" s="56" t="s">
        <v>38</v>
      </c>
      <c r="N881" t="s">
        <v>358</v>
      </c>
    </row>
    <row r="882" spans="1:14">
      <c r="A882" s="56"/>
      <c r="B882" s="66" t="s">
        <v>239</v>
      </c>
      <c r="C882" s="67">
        <v>1</v>
      </c>
      <c r="D882" s="62"/>
      <c r="E882" s="63">
        <v>5</v>
      </c>
      <c r="F882" s="63"/>
      <c r="G882" s="65">
        <v>1</v>
      </c>
      <c r="H882" s="56" t="s">
        <v>38</v>
      </c>
      <c r="I882" s="56" t="s">
        <v>316</v>
      </c>
      <c r="J882" s="56" t="s">
        <v>38</v>
      </c>
      <c r="K882" s="56" t="s">
        <v>38</v>
      </c>
      <c r="L882" s="56" t="s">
        <v>38</v>
      </c>
      <c r="N882" t="s">
        <v>358</v>
      </c>
    </row>
    <row r="883" spans="1:14">
      <c r="A883" s="56"/>
      <c r="B883" s="66" t="s">
        <v>133</v>
      </c>
      <c r="C883" s="65">
        <v>1</v>
      </c>
      <c r="D883" s="62"/>
      <c r="E883" s="63">
        <v>5</v>
      </c>
      <c r="F883" s="63"/>
      <c r="G883" s="65">
        <v>1</v>
      </c>
      <c r="H883" s="56" t="s">
        <v>38</v>
      </c>
      <c r="I883" s="56" t="s">
        <v>316</v>
      </c>
      <c r="J883" s="56" t="s">
        <v>38</v>
      </c>
      <c r="K883" s="56" t="s">
        <v>38</v>
      </c>
      <c r="L883" s="56" t="s">
        <v>38</v>
      </c>
      <c r="N883" t="s">
        <v>358</v>
      </c>
    </row>
    <row r="884" spans="1:14">
      <c r="A884" s="56"/>
      <c r="B884" s="68" t="s">
        <v>38</v>
      </c>
      <c r="C884" s="65">
        <v>1</v>
      </c>
      <c r="D884" s="62"/>
      <c r="E884" s="63">
        <v>5</v>
      </c>
      <c r="F884" s="63"/>
      <c r="G884" s="65">
        <v>1</v>
      </c>
      <c r="H884" s="56" t="s">
        <v>38</v>
      </c>
      <c r="I884" s="56" t="s">
        <v>38</v>
      </c>
      <c r="J884" s="56" t="s">
        <v>38</v>
      </c>
      <c r="K884" s="56" t="s">
        <v>38</v>
      </c>
      <c r="L884" s="56" t="s">
        <v>38</v>
      </c>
      <c r="N884" t="s">
        <v>358</v>
      </c>
    </row>
    <row r="885" spans="1:14">
      <c r="A885" s="56"/>
      <c r="B885" s="66" t="s">
        <v>240</v>
      </c>
      <c r="C885" s="65">
        <v>1</v>
      </c>
      <c r="D885" s="62"/>
      <c r="E885" s="63">
        <v>5</v>
      </c>
      <c r="F885" s="63"/>
      <c r="G885" s="65">
        <v>1</v>
      </c>
      <c r="H885" s="56" t="s">
        <v>38</v>
      </c>
      <c r="I885" s="56" t="s">
        <v>316</v>
      </c>
      <c r="J885" s="56" t="s">
        <v>38</v>
      </c>
      <c r="K885" s="56" t="s">
        <v>38</v>
      </c>
      <c r="L885" s="56" t="s">
        <v>38</v>
      </c>
      <c r="N885" t="s">
        <v>358</v>
      </c>
    </row>
    <row r="886" spans="1:14">
      <c r="A886" s="56"/>
      <c r="B886" s="66" t="s">
        <v>241</v>
      </c>
      <c r="C886" s="65">
        <v>1</v>
      </c>
      <c r="D886" s="62"/>
      <c r="E886" s="63">
        <v>5</v>
      </c>
      <c r="F886" s="63"/>
      <c r="G886" s="65">
        <v>1</v>
      </c>
      <c r="H886" s="56" t="s">
        <v>38</v>
      </c>
      <c r="I886" s="56" t="s">
        <v>316</v>
      </c>
      <c r="J886" s="56" t="s">
        <v>38</v>
      </c>
      <c r="K886" s="56" t="s">
        <v>38</v>
      </c>
      <c r="L886" s="56" t="s">
        <v>38</v>
      </c>
      <c r="N886" t="s">
        <v>358</v>
      </c>
    </row>
    <row r="887" spans="1:14">
      <c r="A887" s="56"/>
      <c r="B887" s="66" t="s">
        <v>244</v>
      </c>
      <c r="C887" s="65">
        <v>1</v>
      </c>
      <c r="D887" s="62">
        <v>1</v>
      </c>
      <c r="E887" s="63">
        <v>5</v>
      </c>
      <c r="F887" s="63">
        <v>5</v>
      </c>
      <c r="G887" s="65">
        <v>1</v>
      </c>
      <c r="H887" s="56" t="s">
        <v>38</v>
      </c>
      <c r="I887" s="56" t="s">
        <v>316</v>
      </c>
      <c r="J887" s="56" t="s">
        <v>360</v>
      </c>
      <c r="K887" s="56" t="s">
        <v>38</v>
      </c>
      <c r="L887" s="56" t="s">
        <v>38</v>
      </c>
      <c r="M887" t="s">
        <v>308</v>
      </c>
      <c r="N887" t="s">
        <v>358</v>
      </c>
    </row>
    <row r="888" spans="1:14">
      <c r="A888" s="56"/>
      <c r="B888" s="66" t="s">
        <v>246</v>
      </c>
      <c r="C888" s="65">
        <v>1</v>
      </c>
      <c r="D888" s="62">
        <v>1</v>
      </c>
      <c r="E888" s="63">
        <v>5</v>
      </c>
      <c r="F888" s="63">
        <v>5</v>
      </c>
      <c r="G888" s="65">
        <v>1</v>
      </c>
      <c r="H888" s="56" t="s">
        <v>38</v>
      </c>
      <c r="I888" s="56" t="s">
        <v>315</v>
      </c>
      <c r="J888" s="56" t="s">
        <v>360</v>
      </c>
      <c r="K888" s="56" t="s">
        <v>38</v>
      </c>
      <c r="L888" s="56" t="s">
        <v>38</v>
      </c>
      <c r="M888" t="s">
        <v>308</v>
      </c>
      <c r="N888" t="s">
        <v>358</v>
      </c>
    </row>
    <row r="889" spans="1:14">
      <c r="A889" s="56"/>
      <c r="B889" s="66" t="s">
        <v>238</v>
      </c>
      <c r="C889" s="65">
        <v>1</v>
      </c>
      <c r="D889" s="62">
        <v>1</v>
      </c>
      <c r="E889" s="63">
        <v>5</v>
      </c>
      <c r="F889" s="63">
        <v>5</v>
      </c>
      <c r="G889" s="65">
        <v>1</v>
      </c>
      <c r="H889" s="56" t="s">
        <v>38</v>
      </c>
      <c r="I889" s="56" t="s">
        <v>316</v>
      </c>
      <c r="J889" s="56" t="s">
        <v>360</v>
      </c>
      <c r="K889" s="56" t="s">
        <v>38</v>
      </c>
      <c r="L889" s="56" t="s">
        <v>38</v>
      </c>
      <c r="N889" t="s">
        <v>358</v>
      </c>
    </row>
    <row r="890" spans="1:14">
      <c r="A890" s="56"/>
      <c r="B890" s="66" t="s">
        <v>246</v>
      </c>
      <c r="C890" s="65">
        <v>1</v>
      </c>
      <c r="D890" s="62">
        <v>1</v>
      </c>
      <c r="E890" s="63">
        <v>5</v>
      </c>
      <c r="F890" s="63">
        <v>5</v>
      </c>
      <c r="G890" s="65">
        <v>1</v>
      </c>
      <c r="H890" s="56" t="s">
        <v>38</v>
      </c>
      <c r="I890" s="56" t="s">
        <v>315</v>
      </c>
      <c r="J890" s="56" t="s">
        <v>360</v>
      </c>
      <c r="K890" s="56" t="s">
        <v>361</v>
      </c>
      <c r="L890" s="56" t="s">
        <v>38</v>
      </c>
      <c r="M890" t="s">
        <v>308</v>
      </c>
      <c r="N890" t="s">
        <v>358</v>
      </c>
    </row>
    <row r="891" spans="1:14">
      <c r="A891" s="56"/>
      <c r="B891" s="66" t="s">
        <v>247</v>
      </c>
      <c r="C891" s="65">
        <v>1</v>
      </c>
      <c r="D891" s="62">
        <v>1</v>
      </c>
      <c r="E891" s="63">
        <v>5</v>
      </c>
      <c r="F891" s="63">
        <v>5</v>
      </c>
      <c r="G891" s="65">
        <v>1</v>
      </c>
      <c r="H891" s="56" t="s">
        <v>38</v>
      </c>
      <c r="I891" s="56" t="s">
        <v>315</v>
      </c>
      <c r="J891" s="56" t="s">
        <v>360</v>
      </c>
      <c r="K891" s="56" t="s">
        <v>361</v>
      </c>
      <c r="L891" s="56" t="s">
        <v>38</v>
      </c>
      <c r="M891" t="s">
        <v>308</v>
      </c>
      <c r="N891" t="s">
        <v>358</v>
      </c>
    </row>
    <row r="892" spans="1:14">
      <c r="A892" s="56"/>
      <c r="B892" s="66" t="s">
        <v>248</v>
      </c>
      <c r="C892" s="65">
        <v>1</v>
      </c>
      <c r="D892" s="62">
        <v>1</v>
      </c>
      <c r="E892" s="63">
        <v>5</v>
      </c>
      <c r="F892" s="63">
        <v>5</v>
      </c>
      <c r="G892" s="65">
        <v>1</v>
      </c>
      <c r="H892" s="56" t="s">
        <v>38</v>
      </c>
      <c r="I892" s="56" t="s">
        <v>315</v>
      </c>
      <c r="J892" s="56" t="s">
        <v>360</v>
      </c>
      <c r="K892" s="56" t="s">
        <v>361</v>
      </c>
      <c r="L892" s="56" t="s">
        <v>362</v>
      </c>
      <c r="M892" t="s">
        <v>308</v>
      </c>
      <c r="N892" t="s">
        <v>358</v>
      </c>
    </row>
    <row r="893" spans="1:14">
      <c r="A893" s="56"/>
      <c r="B893" s="66" t="s">
        <v>232</v>
      </c>
      <c r="C893" s="65">
        <v>1</v>
      </c>
      <c r="D893" s="62">
        <v>1</v>
      </c>
      <c r="E893" s="63">
        <v>5</v>
      </c>
      <c r="F893" s="63">
        <v>5</v>
      </c>
      <c r="G893" s="65">
        <v>1</v>
      </c>
      <c r="H893" s="56" t="s">
        <v>38</v>
      </c>
      <c r="I893" s="56" t="s">
        <v>316</v>
      </c>
      <c r="J893" s="56" t="s">
        <v>360</v>
      </c>
      <c r="K893" s="56" t="s">
        <v>361</v>
      </c>
      <c r="L893" s="56" t="s">
        <v>362</v>
      </c>
      <c r="N893" t="s">
        <v>358</v>
      </c>
    </row>
    <row r="894" spans="1:14">
      <c r="A894" s="56"/>
      <c r="B894" s="66" t="s">
        <v>233</v>
      </c>
      <c r="C894" s="65">
        <v>1</v>
      </c>
      <c r="D894" s="62">
        <v>1</v>
      </c>
      <c r="E894" s="63">
        <v>5</v>
      </c>
      <c r="F894" s="63">
        <v>5</v>
      </c>
      <c r="G894" s="65">
        <v>1</v>
      </c>
      <c r="H894" s="56" t="s">
        <v>38</v>
      </c>
      <c r="I894" s="56" t="s">
        <v>316</v>
      </c>
      <c r="J894" s="56" t="s">
        <v>360</v>
      </c>
      <c r="K894" s="56" t="s">
        <v>361</v>
      </c>
      <c r="L894" s="56" t="s">
        <v>362</v>
      </c>
      <c r="N894" t="s">
        <v>358</v>
      </c>
    </row>
    <row r="895" spans="1:14">
      <c r="A895" s="56"/>
      <c r="B895" s="66" t="s">
        <v>247</v>
      </c>
      <c r="C895" s="65">
        <v>1</v>
      </c>
      <c r="D895" s="62">
        <v>1</v>
      </c>
      <c r="E895" s="63">
        <v>5</v>
      </c>
      <c r="F895" s="63">
        <v>5</v>
      </c>
      <c r="G895" s="65">
        <v>1</v>
      </c>
      <c r="H895" s="56" t="s">
        <v>38</v>
      </c>
      <c r="I895" s="56" t="s">
        <v>315</v>
      </c>
      <c r="J895" s="56" t="s">
        <v>360</v>
      </c>
      <c r="K895" s="56" t="s">
        <v>361</v>
      </c>
      <c r="L895" s="56" t="s">
        <v>362</v>
      </c>
      <c r="M895" t="s">
        <v>308</v>
      </c>
      <c r="N895" t="s">
        <v>358</v>
      </c>
    </row>
    <row r="896" spans="1:14">
      <c r="A896" s="56"/>
      <c r="B896" s="66" t="s">
        <v>248</v>
      </c>
      <c r="C896" s="65">
        <v>1</v>
      </c>
      <c r="D896" s="62">
        <v>1</v>
      </c>
      <c r="E896" s="63">
        <v>5</v>
      </c>
      <c r="F896" s="63">
        <v>5</v>
      </c>
      <c r="G896" s="65">
        <v>1</v>
      </c>
      <c r="H896" s="56" t="s">
        <v>38</v>
      </c>
      <c r="I896" s="56" t="s">
        <v>315</v>
      </c>
      <c r="J896" s="56" t="s">
        <v>38</v>
      </c>
      <c r="K896" s="56" t="s">
        <v>361</v>
      </c>
      <c r="L896" s="56" t="s">
        <v>362</v>
      </c>
      <c r="M896" t="s">
        <v>308</v>
      </c>
      <c r="N896" t="s">
        <v>358</v>
      </c>
    </row>
    <row r="897" spans="1:14">
      <c r="A897" s="56"/>
      <c r="B897" s="66" t="s">
        <v>232</v>
      </c>
      <c r="C897" s="65">
        <v>1</v>
      </c>
      <c r="D897" s="62">
        <v>1</v>
      </c>
      <c r="E897" s="63">
        <v>5</v>
      </c>
      <c r="F897" s="63">
        <v>5</v>
      </c>
      <c r="G897" s="65">
        <v>1</v>
      </c>
      <c r="H897" s="56" t="s">
        <v>38</v>
      </c>
      <c r="I897" s="56" t="s">
        <v>316</v>
      </c>
      <c r="J897" s="56" t="s">
        <v>38</v>
      </c>
      <c r="K897" s="56" t="s">
        <v>361</v>
      </c>
      <c r="L897" s="56" t="s">
        <v>362</v>
      </c>
      <c r="N897" t="s">
        <v>358</v>
      </c>
    </row>
    <row r="898" spans="1:14">
      <c r="A898" s="56"/>
      <c r="B898" s="66" t="s">
        <v>233</v>
      </c>
      <c r="C898" s="65">
        <v>1</v>
      </c>
      <c r="D898" s="62">
        <v>1</v>
      </c>
      <c r="E898" s="63">
        <v>5</v>
      </c>
      <c r="F898" s="63">
        <v>5</v>
      </c>
      <c r="G898" s="65">
        <v>1</v>
      </c>
      <c r="H898" s="56" t="s">
        <v>38</v>
      </c>
      <c r="I898" s="56" t="s">
        <v>316</v>
      </c>
      <c r="J898" s="56" t="s">
        <v>38</v>
      </c>
      <c r="K898" s="56" t="s">
        <v>361</v>
      </c>
      <c r="L898" s="56" t="s">
        <v>362</v>
      </c>
      <c r="N898" t="s">
        <v>358</v>
      </c>
    </row>
    <row r="899" spans="1:14">
      <c r="A899" s="56"/>
      <c r="B899" s="69" t="s">
        <v>133</v>
      </c>
      <c r="C899" s="67">
        <v>1</v>
      </c>
      <c r="D899" s="62">
        <v>1</v>
      </c>
      <c r="E899" s="63">
        <v>5</v>
      </c>
      <c r="F899" s="63">
        <v>5</v>
      </c>
      <c r="G899" s="65">
        <v>1</v>
      </c>
      <c r="H899" s="56" t="s">
        <v>38</v>
      </c>
      <c r="I899" s="56" t="s">
        <v>316</v>
      </c>
      <c r="J899" s="56" t="s">
        <v>38</v>
      </c>
      <c r="K899" s="56" t="s">
        <v>361</v>
      </c>
      <c r="L899" s="56" t="s">
        <v>38</v>
      </c>
      <c r="N899" t="s">
        <v>358</v>
      </c>
    </row>
    <row r="900" spans="1:14">
      <c r="A900" s="56"/>
      <c r="B900" s="69" t="s">
        <v>228</v>
      </c>
      <c r="C900" s="65">
        <v>1</v>
      </c>
      <c r="D900" s="62">
        <v>1</v>
      </c>
      <c r="E900" s="63">
        <v>5</v>
      </c>
      <c r="F900" s="63">
        <v>5</v>
      </c>
      <c r="G900" s="65">
        <v>1</v>
      </c>
      <c r="H900" s="56" t="s">
        <v>38</v>
      </c>
      <c r="I900" s="56" t="s">
        <v>316</v>
      </c>
      <c r="J900" s="56" t="s">
        <v>38</v>
      </c>
      <c r="K900" s="56" t="s">
        <v>361</v>
      </c>
      <c r="L900" s="56" t="s">
        <v>38</v>
      </c>
      <c r="N900" t="s">
        <v>358</v>
      </c>
    </row>
    <row r="901" spans="1:14">
      <c r="A901" s="56"/>
      <c r="B901" s="69" t="s">
        <v>249</v>
      </c>
      <c r="C901" s="65">
        <v>1</v>
      </c>
      <c r="D901" s="62">
        <v>1</v>
      </c>
      <c r="E901" s="63">
        <v>5</v>
      </c>
      <c r="F901" s="63">
        <v>5</v>
      </c>
      <c r="G901" s="65">
        <v>1</v>
      </c>
      <c r="H901" s="56" t="s">
        <v>38</v>
      </c>
      <c r="I901" s="56" t="s">
        <v>315</v>
      </c>
      <c r="J901" s="56" t="s">
        <v>38</v>
      </c>
      <c r="K901" s="56" t="s">
        <v>361</v>
      </c>
      <c r="L901" s="56" t="s">
        <v>38</v>
      </c>
      <c r="M901" t="s">
        <v>308</v>
      </c>
      <c r="N901" t="s">
        <v>358</v>
      </c>
    </row>
    <row r="902" spans="1:14">
      <c r="A902" s="56"/>
      <c r="B902" s="66" t="s">
        <v>148</v>
      </c>
      <c r="C902" s="65">
        <v>1</v>
      </c>
      <c r="D902" s="62"/>
      <c r="E902" s="63">
        <v>5</v>
      </c>
      <c r="F902" s="63">
        <v>5</v>
      </c>
      <c r="G902" s="65"/>
      <c r="H902" s="56" t="s">
        <v>38</v>
      </c>
      <c r="I902" s="56" t="s">
        <v>316</v>
      </c>
      <c r="J902" s="56" t="s">
        <v>38</v>
      </c>
      <c r="K902" s="56" t="s">
        <v>361</v>
      </c>
      <c r="L902" s="56" t="s">
        <v>38</v>
      </c>
      <c r="N902" t="s">
        <v>358</v>
      </c>
    </row>
    <row r="903" spans="1:14">
      <c r="A903" s="56"/>
      <c r="B903" s="66" t="s">
        <v>150</v>
      </c>
      <c r="C903" s="65">
        <v>1</v>
      </c>
      <c r="D903" s="62"/>
      <c r="E903" s="63">
        <v>5</v>
      </c>
      <c r="F903" s="63">
        <v>5</v>
      </c>
      <c r="G903" s="65"/>
      <c r="H903" s="56" t="s">
        <v>38</v>
      </c>
      <c r="I903" s="56" t="s">
        <v>316</v>
      </c>
      <c r="J903" s="56" t="s">
        <v>38</v>
      </c>
      <c r="K903" s="56" t="s">
        <v>361</v>
      </c>
      <c r="L903" s="56" t="s">
        <v>38</v>
      </c>
      <c r="N903" t="s">
        <v>358</v>
      </c>
    </row>
    <row r="904" spans="1:14">
      <c r="A904" s="56"/>
      <c r="B904" s="66" t="s">
        <v>151</v>
      </c>
      <c r="C904" s="65">
        <v>2</v>
      </c>
      <c r="D904" s="62"/>
      <c r="E904" s="63">
        <v>5</v>
      </c>
      <c r="F904" s="63">
        <v>5</v>
      </c>
      <c r="G904" s="65"/>
      <c r="H904" s="56" t="s">
        <v>38</v>
      </c>
      <c r="I904" s="56" t="s">
        <v>316</v>
      </c>
      <c r="J904" s="56" t="s">
        <v>38</v>
      </c>
      <c r="K904" s="56" t="s">
        <v>361</v>
      </c>
      <c r="L904" s="56" t="s">
        <v>38</v>
      </c>
      <c r="N904" t="s">
        <v>358</v>
      </c>
    </row>
    <row r="905" spans="1:14">
      <c r="A905" s="56"/>
      <c r="B905" s="66" t="s">
        <v>139</v>
      </c>
      <c r="C905" s="65">
        <v>1</v>
      </c>
      <c r="D905" s="62"/>
      <c r="E905" s="63">
        <v>5</v>
      </c>
      <c r="F905" s="63">
        <v>5</v>
      </c>
      <c r="G905" s="65"/>
      <c r="H905" s="56" t="s">
        <v>38</v>
      </c>
      <c r="I905" s="56" t="s">
        <v>38</v>
      </c>
      <c r="J905" s="56" t="s">
        <v>38</v>
      </c>
      <c r="K905" s="56" t="s">
        <v>38</v>
      </c>
      <c r="L905" s="56" t="s">
        <v>38</v>
      </c>
      <c r="N905" t="s">
        <v>358</v>
      </c>
    </row>
    <row r="906" spans="1:14">
      <c r="A906" s="56"/>
      <c r="B906" s="68" t="s">
        <v>38</v>
      </c>
      <c r="C906" s="65">
        <v>1</v>
      </c>
      <c r="D906" s="62"/>
      <c r="E906" s="63"/>
      <c r="F906" s="63"/>
      <c r="G906" s="65"/>
      <c r="H906" s="56" t="s">
        <v>38</v>
      </c>
      <c r="I906" s="56" t="s">
        <v>38</v>
      </c>
      <c r="J906" s="56" t="s">
        <v>38</v>
      </c>
      <c r="K906" s="56" t="s">
        <v>38</v>
      </c>
      <c r="L906" s="56" t="s">
        <v>38</v>
      </c>
      <c r="N906" t="s">
        <v>358</v>
      </c>
    </row>
    <row r="907" spans="1:14">
      <c r="A907" s="56"/>
      <c r="B907" s="68" t="s">
        <v>38</v>
      </c>
      <c r="C907" s="65">
        <v>1</v>
      </c>
      <c r="D907" s="62"/>
      <c r="E907" s="63"/>
      <c r="F907" s="63"/>
      <c r="G907" s="65"/>
      <c r="H907" s="56" t="s">
        <v>38</v>
      </c>
      <c r="I907" s="56" t="s">
        <v>38</v>
      </c>
      <c r="J907" s="56" t="s">
        <v>38</v>
      </c>
      <c r="K907" s="56" t="s">
        <v>38</v>
      </c>
      <c r="L907" s="56" t="s">
        <v>38</v>
      </c>
      <c r="N907" t="s">
        <v>358</v>
      </c>
    </row>
    <row r="908" spans="1:14">
      <c r="A908" s="56"/>
      <c r="B908" s="68" t="s">
        <v>38</v>
      </c>
      <c r="C908" s="65">
        <v>1</v>
      </c>
      <c r="D908" s="62"/>
      <c r="E908" s="63"/>
      <c r="F908" s="63"/>
      <c r="G908" s="65"/>
      <c r="H908" s="56" t="s">
        <v>38</v>
      </c>
      <c r="I908" s="56" t="s">
        <v>38</v>
      </c>
      <c r="J908" s="56" t="s">
        <v>38</v>
      </c>
      <c r="K908" s="56" t="s">
        <v>38</v>
      </c>
      <c r="L908" s="56" t="s">
        <v>38</v>
      </c>
      <c r="N908" t="s">
        <v>358</v>
      </c>
    </row>
    <row r="909" spans="1:14">
      <c r="A909" s="56"/>
      <c r="B909" s="68" t="s">
        <v>38</v>
      </c>
      <c r="C909" s="65">
        <v>1</v>
      </c>
      <c r="D909" s="62"/>
      <c r="E909" s="63"/>
      <c r="F909" s="63"/>
      <c r="G909" s="65"/>
      <c r="H909" s="56" t="s">
        <v>38</v>
      </c>
      <c r="I909" s="56" t="s">
        <v>38</v>
      </c>
      <c r="J909" s="56" t="s">
        <v>38</v>
      </c>
      <c r="K909" s="56" t="s">
        <v>38</v>
      </c>
      <c r="L909" s="56" t="s">
        <v>38</v>
      </c>
      <c r="N909" t="s">
        <v>358</v>
      </c>
    </row>
    <row r="910" spans="1:14">
      <c r="A910" s="56"/>
      <c r="B910" s="68" t="s">
        <v>129</v>
      </c>
      <c r="C910" s="67">
        <v>17</v>
      </c>
      <c r="D910" s="62"/>
      <c r="E910" s="63">
        <v>5</v>
      </c>
      <c r="F910" s="63"/>
      <c r="G910" s="65"/>
      <c r="H910" s="56" t="s">
        <v>38</v>
      </c>
      <c r="I910" s="56" t="s">
        <v>38</v>
      </c>
      <c r="J910" s="56" t="s">
        <v>38</v>
      </c>
      <c r="K910" s="56" t="s">
        <v>38</v>
      </c>
      <c r="L910" s="56" t="s">
        <v>38</v>
      </c>
      <c r="N910" t="s">
        <v>358</v>
      </c>
    </row>
    <row r="911" spans="1:14">
      <c r="A911" s="56"/>
      <c r="B911" s="68" t="s">
        <v>130</v>
      </c>
      <c r="C911" s="67">
        <v>17</v>
      </c>
      <c r="D911" s="62"/>
      <c r="E911" s="63">
        <v>5</v>
      </c>
      <c r="F911" s="63"/>
      <c r="G911" s="65"/>
      <c r="H911" s="56" t="s">
        <v>38</v>
      </c>
      <c r="I911" s="56" t="s">
        <v>38</v>
      </c>
      <c r="J911" s="56" t="s">
        <v>38</v>
      </c>
      <c r="K911" s="56" t="s">
        <v>38</v>
      </c>
      <c r="L911" s="56" t="s">
        <v>38</v>
      </c>
      <c r="N911" t="s">
        <v>358</v>
      </c>
    </row>
    <row r="912" spans="1:14">
      <c r="A912" s="56"/>
      <c r="B912" s="68" t="s">
        <v>129</v>
      </c>
      <c r="C912" s="67">
        <v>25</v>
      </c>
      <c r="D912" s="62"/>
      <c r="E912" s="63">
        <v>5</v>
      </c>
      <c r="F912" s="63"/>
      <c r="G912" s="65"/>
      <c r="H912" s="56" t="s">
        <v>38</v>
      </c>
      <c r="I912" s="56" t="s">
        <v>316</v>
      </c>
      <c r="J912" s="56" t="s">
        <v>360</v>
      </c>
      <c r="K912" s="56" t="s">
        <v>361</v>
      </c>
      <c r="L912" s="56" t="s">
        <v>38</v>
      </c>
      <c r="N912" t="s">
        <v>358</v>
      </c>
    </row>
    <row r="913" spans="1:14">
      <c r="A913" s="56"/>
      <c r="B913" s="68" t="s">
        <v>130</v>
      </c>
      <c r="C913" s="67">
        <v>25</v>
      </c>
      <c r="D913" s="62"/>
      <c r="E913" s="63">
        <v>5</v>
      </c>
      <c r="F913" s="63"/>
      <c r="G913" s="65"/>
      <c r="H913" s="56" t="s">
        <v>38</v>
      </c>
      <c r="I913" s="56" t="s">
        <v>316</v>
      </c>
      <c r="J913" s="56" t="s">
        <v>360</v>
      </c>
      <c r="K913" s="56" t="s">
        <v>361</v>
      </c>
      <c r="L913" s="56" t="s">
        <v>38</v>
      </c>
      <c r="N913" t="s">
        <v>358</v>
      </c>
    </row>
    <row r="914" spans="1:14">
      <c r="A914" s="56"/>
      <c r="B914" s="68" t="s">
        <v>64</v>
      </c>
      <c r="C914" s="65">
        <v>5</v>
      </c>
      <c r="D914" s="62"/>
      <c r="E914" s="63">
        <v>5</v>
      </c>
      <c r="F914" s="63"/>
      <c r="G914" s="65"/>
      <c r="H914" s="56" t="s">
        <v>38</v>
      </c>
      <c r="I914" s="56" t="s">
        <v>316</v>
      </c>
      <c r="J914" s="56" t="s">
        <v>38</v>
      </c>
      <c r="K914" s="56" t="s">
        <v>38</v>
      </c>
      <c r="L914" s="56" t="s">
        <v>38</v>
      </c>
      <c r="N914" t="s">
        <v>358</v>
      </c>
    </row>
    <row r="915" spans="1:14">
      <c r="A915" s="56"/>
      <c r="B915" s="68" t="s">
        <v>38</v>
      </c>
      <c r="C915" s="65">
        <v>1</v>
      </c>
      <c r="D915" s="62"/>
      <c r="E915" s="63"/>
      <c r="F915" s="63"/>
      <c r="G915" s="65"/>
      <c r="H915" s="56" t="s">
        <v>38</v>
      </c>
      <c r="I915" s="56" t="s">
        <v>38</v>
      </c>
      <c r="J915" s="56" t="s">
        <v>38</v>
      </c>
      <c r="K915" s="56" t="s">
        <v>38</v>
      </c>
      <c r="L915" s="56" t="s">
        <v>38</v>
      </c>
    </row>
    <row r="916" spans="1:14">
      <c r="A916" s="56"/>
      <c r="B916" s="68" t="s">
        <v>38</v>
      </c>
      <c r="C916" s="65">
        <v>1</v>
      </c>
      <c r="D916" s="62"/>
      <c r="E916" s="63"/>
      <c r="F916" s="64"/>
      <c r="G916" s="65"/>
      <c r="H916" s="56" t="s">
        <v>38</v>
      </c>
      <c r="I916" s="56" t="s">
        <v>38</v>
      </c>
      <c r="J916" s="56" t="s">
        <v>38</v>
      </c>
      <c r="K916" s="56" t="s">
        <v>38</v>
      </c>
      <c r="L916" s="56" t="s">
        <v>38</v>
      </c>
    </row>
    <row r="917" spans="1:14">
      <c r="A917" s="56"/>
      <c r="B917" s="68" t="s">
        <v>38</v>
      </c>
      <c r="C917" s="65">
        <v>1</v>
      </c>
      <c r="D917" s="62"/>
      <c r="E917" s="63"/>
      <c r="F917" s="64"/>
      <c r="G917" s="65"/>
      <c r="H917" s="56" t="s">
        <v>38</v>
      </c>
      <c r="I917" s="56" t="s">
        <v>38</v>
      </c>
      <c r="J917" s="56" t="s">
        <v>38</v>
      </c>
      <c r="K917" s="56" t="s">
        <v>38</v>
      </c>
      <c r="L917" s="56" t="s">
        <v>38</v>
      </c>
    </row>
    <row r="918" spans="1:14">
      <c r="A918" s="56"/>
      <c r="B918" s="68" t="s">
        <v>38</v>
      </c>
      <c r="C918" s="65">
        <v>1</v>
      </c>
      <c r="D918" s="62"/>
      <c r="E918" s="63"/>
      <c r="F918" s="64"/>
      <c r="G918" s="65"/>
      <c r="H918" s="56" t="s">
        <v>38</v>
      </c>
      <c r="I918" s="56" t="s">
        <v>38</v>
      </c>
      <c r="J918" s="56" t="s">
        <v>38</v>
      </c>
      <c r="K918" s="56" t="s">
        <v>38</v>
      </c>
      <c r="L918" s="56" t="s">
        <v>38</v>
      </c>
    </row>
    <row r="919" spans="1:14">
      <c r="A919" s="56"/>
      <c r="B919" s="68" t="s">
        <v>38</v>
      </c>
      <c r="C919" s="65">
        <v>1</v>
      </c>
      <c r="D919" s="62"/>
      <c r="E919" s="63"/>
      <c r="F919" s="64"/>
      <c r="G919" s="65"/>
      <c r="H919" s="56" t="s">
        <v>38</v>
      </c>
      <c r="I919" s="56" t="s">
        <v>38</v>
      </c>
      <c r="J919" s="56" t="s">
        <v>38</v>
      </c>
      <c r="K919" s="56" t="s">
        <v>38</v>
      </c>
      <c r="L919" s="56" t="s">
        <v>38</v>
      </c>
    </row>
    <row r="920" spans="1:14">
      <c r="A920" s="56"/>
      <c r="B920" s="70" t="s">
        <v>38</v>
      </c>
      <c r="C920" s="65">
        <v>1</v>
      </c>
      <c r="D920" s="62"/>
      <c r="E920" s="64"/>
      <c r="F920" s="64"/>
      <c r="G920" s="65"/>
      <c r="H920" s="56" t="s">
        <v>38</v>
      </c>
      <c r="I920" s="56" t="s">
        <v>38</v>
      </c>
      <c r="J920" s="56" t="s">
        <v>38</v>
      </c>
      <c r="K920" s="56" t="s">
        <v>38</v>
      </c>
      <c r="L920" s="56" t="s">
        <v>38</v>
      </c>
    </row>
    <row r="921" spans="1:14">
      <c r="A921" s="56"/>
      <c r="B921" s="70" t="s">
        <v>38</v>
      </c>
      <c r="C921" s="65">
        <v>1</v>
      </c>
      <c r="D921" s="62"/>
      <c r="E921" s="64"/>
      <c r="F921" s="64"/>
      <c r="G921" s="65"/>
      <c r="H921" s="56" t="s">
        <v>38</v>
      </c>
      <c r="I921" s="56" t="s">
        <v>38</v>
      </c>
      <c r="J921" s="56" t="s">
        <v>38</v>
      </c>
      <c r="K921" s="56" t="s">
        <v>38</v>
      </c>
      <c r="L921" s="56" t="s">
        <v>38</v>
      </c>
    </row>
    <row r="922" spans="1:14">
      <c r="A922" s="56"/>
      <c r="B922" s="70" t="s">
        <v>38</v>
      </c>
      <c r="C922" s="65">
        <v>1</v>
      </c>
      <c r="D922" s="62"/>
      <c r="E922" s="64"/>
      <c r="F922" s="64"/>
      <c r="G922" s="65"/>
      <c r="H922" s="56" t="s">
        <v>38</v>
      </c>
      <c r="I922" s="56" t="s">
        <v>38</v>
      </c>
      <c r="J922" s="56" t="s">
        <v>38</v>
      </c>
      <c r="K922" s="56" t="s">
        <v>38</v>
      </c>
      <c r="L922" s="56" t="s">
        <v>38</v>
      </c>
    </row>
    <row r="923" spans="1:14">
      <c r="A923" s="56"/>
      <c r="B923" s="70" t="s">
        <v>38</v>
      </c>
      <c r="C923" s="65">
        <v>1</v>
      </c>
      <c r="D923" s="62"/>
      <c r="E923" s="64"/>
      <c r="F923" s="64"/>
      <c r="G923" s="65"/>
      <c r="H923" s="56" t="s">
        <v>38</v>
      </c>
      <c r="I923" s="56" t="s">
        <v>38</v>
      </c>
      <c r="J923" s="56" t="s">
        <v>38</v>
      </c>
      <c r="K923" s="56" t="s">
        <v>38</v>
      </c>
      <c r="L923" s="56" t="s">
        <v>38</v>
      </c>
    </row>
    <row r="924" spans="1:14">
      <c r="A924" s="56"/>
      <c r="B924" s="70" t="s">
        <v>38</v>
      </c>
      <c r="C924" s="65">
        <v>1</v>
      </c>
      <c r="D924" s="62"/>
      <c r="E924" s="64"/>
      <c r="F924" s="64"/>
      <c r="G924" s="65"/>
      <c r="H924" s="56" t="s">
        <v>38</v>
      </c>
      <c r="I924" s="56" t="s">
        <v>38</v>
      </c>
      <c r="J924" s="56" t="s">
        <v>38</v>
      </c>
      <c r="K924" s="56" t="s">
        <v>38</v>
      </c>
      <c r="L924" s="56" t="s">
        <v>38</v>
      </c>
    </row>
    <row r="925" spans="1:14">
      <c r="A925" s="56"/>
      <c r="B925" s="70" t="s">
        <v>38</v>
      </c>
      <c r="C925" s="65">
        <v>1</v>
      </c>
      <c r="D925" s="62"/>
      <c r="E925" s="64"/>
      <c r="F925" s="64"/>
      <c r="G925" s="65"/>
      <c r="H925" s="56" t="s">
        <v>38</v>
      </c>
      <c r="I925" s="56" t="s">
        <v>38</v>
      </c>
      <c r="J925" s="56" t="s">
        <v>38</v>
      </c>
      <c r="K925" s="56" t="s">
        <v>38</v>
      </c>
      <c r="L925" s="56" t="s">
        <v>38</v>
      </c>
    </row>
    <row r="926" spans="1:14">
      <c r="A926" s="56"/>
      <c r="B926" s="70" t="s">
        <v>38</v>
      </c>
      <c r="C926" s="65">
        <v>1</v>
      </c>
      <c r="D926" s="62"/>
      <c r="E926" s="64"/>
      <c r="F926" s="64"/>
      <c r="G926" s="65"/>
      <c r="H926" s="56" t="s">
        <v>38</v>
      </c>
      <c r="I926" s="56" t="s">
        <v>38</v>
      </c>
      <c r="J926" s="56" t="s">
        <v>38</v>
      </c>
      <c r="K926" s="56" t="s">
        <v>38</v>
      </c>
      <c r="L926" s="56" t="s">
        <v>38</v>
      </c>
    </row>
    <row r="927" spans="1:14">
      <c r="A927" s="56"/>
      <c r="B927" s="70" t="s">
        <v>38</v>
      </c>
      <c r="C927" s="65">
        <v>1</v>
      </c>
      <c r="D927" s="62"/>
      <c r="E927" s="64"/>
      <c r="F927" s="64"/>
      <c r="G927" s="65"/>
      <c r="H927" s="56" t="s">
        <v>38</v>
      </c>
      <c r="I927" s="56" t="s">
        <v>38</v>
      </c>
      <c r="J927" s="56" t="s">
        <v>38</v>
      </c>
      <c r="K927" s="56" t="s">
        <v>38</v>
      </c>
      <c r="L927" s="56" t="s">
        <v>38</v>
      </c>
    </row>
    <row r="928" spans="1:14">
      <c r="A928" s="56"/>
      <c r="B928" s="70" t="s">
        <v>38</v>
      </c>
      <c r="C928" s="65">
        <v>1</v>
      </c>
      <c r="D928" s="62"/>
      <c r="E928" s="64"/>
      <c r="F928" s="64"/>
      <c r="G928" s="65"/>
      <c r="H928" s="56" t="s">
        <v>38</v>
      </c>
      <c r="I928" s="56" t="s">
        <v>38</v>
      </c>
      <c r="J928" s="56" t="s">
        <v>38</v>
      </c>
      <c r="K928" s="56" t="s">
        <v>38</v>
      </c>
      <c r="L928" s="56" t="s">
        <v>38</v>
      </c>
    </row>
    <row r="929" spans="1:12">
      <c r="A929" s="56"/>
      <c r="B929" s="70" t="s">
        <v>38</v>
      </c>
      <c r="C929" s="65">
        <v>1</v>
      </c>
      <c r="D929" s="62"/>
      <c r="E929" s="64"/>
      <c r="F929" s="64"/>
      <c r="G929" s="65"/>
      <c r="H929" s="56" t="s">
        <v>38</v>
      </c>
      <c r="I929" s="56" t="s">
        <v>38</v>
      </c>
      <c r="J929" s="56" t="s">
        <v>38</v>
      </c>
      <c r="K929" s="56" t="s">
        <v>38</v>
      </c>
      <c r="L929" s="56" t="s">
        <v>38</v>
      </c>
    </row>
    <row r="930" spans="1:12">
      <c r="A930" s="56"/>
      <c r="B930" s="70" t="s">
        <v>38</v>
      </c>
      <c r="C930" s="65">
        <v>1</v>
      </c>
      <c r="D930" s="62"/>
      <c r="E930" s="64"/>
      <c r="F930" s="64"/>
      <c r="G930" s="65"/>
      <c r="H930" s="56" t="s">
        <v>38</v>
      </c>
      <c r="I930" s="56" t="s">
        <v>38</v>
      </c>
      <c r="J930" s="56" t="s">
        <v>38</v>
      </c>
      <c r="K930" s="56" t="s">
        <v>38</v>
      </c>
      <c r="L930" s="56" t="s">
        <v>38</v>
      </c>
    </row>
    <row r="931" spans="1:12">
      <c r="A931" s="56"/>
      <c r="B931" s="70" t="s">
        <v>38</v>
      </c>
      <c r="C931" s="65">
        <v>1</v>
      </c>
      <c r="D931" s="62"/>
      <c r="E931" s="64"/>
      <c r="F931" s="64"/>
      <c r="G931" s="65"/>
      <c r="H931" s="56" t="s">
        <v>38</v>
      </c>
      <c r="I931" s="56" t="s">
        <v>38</v>
      </c>
      <c r="J931" s="56" t="s">
        <v>38</v>
      </c>
      <c r="K931" s="56" t="s">
        <v>38</v>
      </c>
      <c r="L931" s="56" t="s">
        <v>38</v>
      </c>
    </row>
    <row r="932" spans="1:12">
      <c r="A932" s="56"/>
      <c r="B932" s="70" t="s">
        <v>38</v>
      </c>
      <c r="C932" s="65">
        <v>1</v>
      </c>
      <c r="D932" s="62"/>
      <c r="E932" s="64"/>
      <c r="F932" s="64"/>
      <c r="G932" s="65"/>
      <c r="H932" s="56" t="s">
        <v>38</v>
      </c>
      <c r="I932" s="56" t="s">
        <v>38</v>
      </c>
      <c r="J932" s="56" t="s">
        <v>38</v>
      </c>
      <c r="K932" s="56" t="s">
        <v>38</v>
      </c>
      <c r="L932" s="56" t="s">
        <v>38</v>
      </c>
    </row>
    <row r="933" spans="1:12">
      <c r="A933" s="56"/>
      <c r="B933" s="70" t="s">
        <v>38</v>
      </c>
      <c r="C933" s="65">
        <v>1</v>
      </c>
      <c r="D933" s="62"/>
      <c r="E933" s="64"/>
      <c r="F933" s="64"/>
      <c r="G933" s="65"/>
      <c r="H933" s="56" t="s">
        <v>38</v>
      </c>
      <c r="I933" s="56" t="s">
        <v>38</v>
      </c>
      <c r="J933" s="56" t="s">
        <v>38</v>
      </c>
      <c r="K933" s="56" t="s">
        <v>38</v>
      </c>
      <c r="L933" s="56" t="s">
        <v>38</v>
      </c>
    </row>
    <row r="934" spans="1:12">
      <c r="A934" s="56"/>
      <c r="B934" s="70" t="s">
        <v>38</v>
      </c>
      <c r="C934" s="65">
        <v>1</v>
      </c>
      <c r="D934" s="62"/>
      <c r="E934" s="64"/>
      <c r="F934" s="64"/>
      <c r="G934" s="65"/>
      <c r="H934" s="56" t="s">
        <v>38</v>
      </c>
      <c r="I934" s="56" t="s">
        <v>38</v>
      </c>
      <c r="J934" s="56" t="s">
        <v>38</v>
      </c>
      <c r="K934" s="56" t="s">
        <v>38</v>
      </c>
      <c r="L934" s="56" t="s">
        <v>38</v>
      </c>
    </row>
    <row r="935" spans="1:12">
      <c r="A935" s="56"/>
      <c r="B935" s="70" t="s">
        <v>38</v>
      </c>
      <c r="C935" s="65">
        <v>1</v>
      </c>
      <c r="D935" s="62"/>
      <c r="E935" s="64"/>
      <c r="F935" s="64"/>
      <c r="G935" s="65"/>
      <c r="H935" s="56" t="s">
        <v>38</v>
      </c>
      <c r="I935" s="56" t="s">
        <v>38</v>
      </c>
      <c r="J935" s="56" t="s">
        <v>38</v>
      </c>
      <c r="K935" s="56" t="s">
        <v>38</v>
      </c>
      <c r="L935" s="56" t="s">
        <v>38</v>
      </c>
    </row>
    <row r="936" spans="1:12">
      <c r="A936" s="56"/>
      <c r="B936" s="70" t="s">
        <v>38</v>
      </c>
      <c r="C936" s="65">
        <v>1</v>
      </c>
      <c r="D936" s="62"/>
      <c r="E936" s="64"/>
      <c r="F936" s="64"/>
      <c r="G936" s="65"/>
      <c r="H936" s="56" t="s">
        <v>38</v>
      </c>
      <c r="I936" s="56" t="s">
        <v>38</v>
      </c>
      <c r="J936" s="56" t="s">
        <v>38</v>
      </c>
      <c r="K936" s="56" t="s">
        <v>38</v>
      </c>
      <c r="L936" s="56" t="s">
        <v>38</v>
      </c>
    </row>
    <row r="937" spans="1:12">
      <c r="A937" s="56"/>
      <c r="B937" s="70" t="s">
        <v>38</v>
      </c>
      <c r="C937" s="65">
        <v>1</v>
      </c>
      <c r="D937" s="62"/>
      <c r="E937" s="64"/>
      <c r="F937" s="64"/>
      <c r="G937" s="65"/>
      <c r="H937" s="56" t="s">
        <v>38</v>
      </c>
      <c r="I937" s="56" t="s">
        <v>38</v>
      </c>
      <c r="J937" s="56" t="s">
        <v>38</v>
      </c>
      <c r="K937" s="56" t="s">
        <v>38</v>
      </c>
      <c r="L937" s="56" t="s">
        <v>38</v>
      </c>
    </row>
    <row r="938" spans="1:12">
      <c r="A938" s="56"/>
      <c r="B938" s="70" t="s">
        <v>38</v>
      </c>
      <c r="C938" s="65">
        <v>1</v>
      </c>
      <c r="D938" s="62"/>
      <c r="E938" s="64"/>
      <c r="F938" s="64"/>
      <c r="G938" s="65"/>
      <c r="H938" s="56" t="s">
        <v>38</v>
      </c>
      <c r="I938" s="56" t="s">
        <v>38</v>
      </c>
      <c r="J938" s="56" t="s">
        <v>38</v>
      </c>
      <c r="K938" s="56" t="s">
        <v>38</v>
      </c>
      <c r="L938" s="56" t="s">
        <v>38</v>
      </c>
    </row>
    <row r="939" spans="1:12">
      <c r="A939" s="56"/>
      <c r="B939" s="70" t="s">
        <v>38</v>
      </c>
      <c r="C939" s="65">
        <v>1</v>
      </c>
      <c r="D939" s="62"/>
      <c r="E939" s="64"/>
      <c r="F939" s="64"/>
      <c r="G939" s="65"/>
      <c r="H939" s="56" t="s">
        <v>38</v>
      </c>
      <c r="I939" s="56" t="s">
        <v>38</v>
      </c>
      <c r="J939" s="56" t="s">
        <v>38</v>
      </c>
      <c r="K939" s="56" t="s">
        <v>38</v>
      </c>
      <c r="L939" s="56" t="s">
        <v>38</v>
      </c>
    </row>
    <row r="940" spans="1:12">
      <c r="A940" s="56"/>
      <c r="B940" s="70" t="s">
        <v>38</v>
      </c>
      <c r="C940" s="65">
        <v>1</v>
      </c>
      <c r="D940" s="62"/>
      <c r="E940" s="64"/>
      <c r="F940" s="64"/>
      <c r="G940" s="65"/>
      <c r="H940" s="56" t="s">
        <v>38</v>
      </c>
      <c r="I940" s="56" t="s">
        <v>38</v>
      </c>
      <c r="J940" s="56" t="s">
        <v>38</v>
      </c>
      <c r="K940" s="56" t="s">
        <v>38</v>
      </c>
      <c r="L940" s="56" t="s">
        <v>38</v>
      </c>
    </row>
    <row r="941" spans="1:12">
      <c r="A941" s="56"/>
      <c r="B941" s="70" t="s">
        <v>38</v>
      </c>
      <c r="C941" s="65">
        <v>1</v>
      </c>
      <c r="D941" s="62"/>
      <c r="E941" s="64"/>
      <c r="F941" s="64"/>
      <c r="G941" s="65"/>
      <c r="H941" s="56" t="s">
        <v>38</v>
      </c>
      <c r="I941" s="56" t="s">
        <v>38</v>
      </c>
      <c r="J941" s="56" t="s">
        <v>38</v>
      </c>
      <c r="K941" s="56" t="s">
        <v>38</v>
      </c>
      <c r="L941" s="56" t="s">
        <v>38</v>
      </c>
    </row>
    <row r="942" ht="15.15" spans="1:12">
      <c r="A942" s="56"/>
      <c r="B942" s="71" t="s">
        <v>38</v>
      </c>
      <c r="C942" s="65">
        <v>1</v>
      </c>
      <c r="D942" s="72"/>
      <c r="E942" s="73"/>
      <c r="F942" s="73"/>
      <c r="G942" s="74"/>
      <c r="H942" s="56" t="s">
        <v>38</v>
      </c>
      <c r="I942" s="56" t="s">
        <v>38</v>
      </c>
      <c r="J942" s="56" t="s">
        <v>38</v>
      </c>
      <c r="K942" s="56" t="s">
        <v>38</v>
      </c>
      <c r="L942" s="56" t="s">
        <v>38</v>
      </c>
    </row>
    <row r="943" ht="15.15" spans="1:12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</row>
    <row r="944" spans="1:12">
      <c r="A944" s="56"/>
      <c r="B944" s="56"/>
      <c r="C944" s="56"/>
      <c r="D944" s="57"/>
      <c r="E944" s="58"/>
      <c r="F944" s="58"/>
      <c r="G944" s="59"/>
      <c r="H944" s="60"/>
      <c r="I944" s="60"/>
      <c r="J944" s="60"/>
      <c r="K944" s="60"/>
      <c r="L944" s="60"/>
    </row>
    <row r="945" spans="1:16">
      <c r="A945" s="56" t="s">
        <v>363</v>
      </c>
      <c r="B945" s="61" t="s">
        <v>236</v>
      </c>
      <c r="C945" s="59">
        <v>1</v>
      </c>
      <c r="D945" s="62"/>
      <c r="E945" s="63">
        <v>0</v>
      </c>
      <c r="F945" s="64"/>
      <c r="G945" s="65"/>
      <c r="H945" s="56" t="s">
        <v>322</v>
      </c>
      <c r="I945" s="56" t="s">
        <v>38</v>
      </c>
      <c r="J945" s="56" t="s">
        <v>38</v>
      </c>
      <c r="K945" s="56" t="s">
        <v>38</v>
      </c>
      <c r="L945" s="56" t="s">
        <v>38</v>
      </c>
      <c r="N945" t="s">
        <v>358</v>
      </c>
      <c r="O945">
        <v>42</v>
      </c>
      <c r="P945" s="56">
        <v>38533.51</v>
      </c>
    </row>
    <row r="946" spans="1:16">
      <c r="A946" s="56"/>
      <c r="B946" s="66" t="s">
        <v>244</v>
      </c>
      <c r="C946" s="65">
        <v>1</v>
      </c>
      <c r="D946" s="62"/>
      <c r="E946" s="63">
        <v>1</v>
      </c>
      <c r="F946" s="64"/>
      <c r="G946" s="65"/>
      <c r="H946" s="56" t="s">
        <v>322</v>
      </c>
      <c r="I946" s="56" t="s">
        <v>38</v>
      </c>
      <c r="J946" s="56" t="s">
        <v>38</v>
      </c>
      <c r="K946" s="56" t="s">
        <v>38</v>
      </c>
      <c r="L946" s="56" t="s">
        <v>38</v>
      </c>
      <c r="M946" t="s">
        <v>308</v>
      </c>
      <c r="N946" t="s">
        <v>358</v>
      </c>
    </row>
    <row r="947" spans="1:16">
      <c r="A947" s="56"/>
      <c r="B947" s="66" t="s">
        <v>246</v>
      </c>
      <c r="C947" s="65">
        <v>1</v>
      </c>
      <c r="D947" s="62"/>
      <c r="E947" s="63">
        <v>1</v>
      </c>
      <c r="F947" s="64"/>
      <c r="G947" s="65"/>
      <c r="H947" s="56" t="s">
        <v>322</v>
      </c>
      <c r="I947" s="56" t="s">
        <v>313</v>
      </c>
      <c r="J947" s="56" t="s">
        <v>38</v>
      </c>
      <c r="K947" s="56" t="s">
        <v>38</v>
      </c>
      <c r="L947" s="56" t="s">
        <v>38</v>
      </c>
      <c r="M947" t="s">
        <v>308</v>
      </c>
      <c r="N947" t="s">
        <v>358</v>
      </c>
    </row>
    <row r="948" spans="1:16">
      <c r="A948" s="56"/>
      <c r="B948" s="66" t="s">
        <v>242</v>
      </c>
      <c r="C948" s="65">
        <v>1</v>
      </c>
      <c r="D948" s="62"/>
      <c r="E948" s="63">
        <v>1</v>
      </c>
      <c r="F948" s="64"/>
      <c r="G948" s="65"/>
      <c r="H948" s="56" t="s">
        <v>322</v>
      </c>
      <c r="I948" s="56" t="s">
        <v>316</v>
      </c>
      <c r="J948" s="56" t="s">
        <v>38</v>
      </c>
      <c r="K948" s="56" t="s">
        <v>38</v>
      </c>
      <c r="L948" s="56" t="s">
        <v>38</v>
      </c>
      <c r="N948" t="s">
        <v>358</v>
      </c>
    </row>
    <row r="949" spans="1:16">
      <c r="A949" s="56"/>
      <c r="B949" s="66" t="s">
        <v>155</v>
      </c>
      <c r="C949" s="65">
        <v>1</v>
      </c>
      <c r="D949" s="62"/>
      <c r="E949" s="63">
        <v>1</v>
      </c>
      <c r="F949" s="64"/>
      <c r="G949" s="65"/>
      <c r="H949" s="56" t="s">
        <v>322</v>
      </c>
      <c r="I949" s="56" t="s">
        <v>316</v>
      </c>
      <c r="J949" s="56" t="s">
        <v>38</v>
      </c>
      <c r="K949" s="56" t="s">
        <v>38</v>
      </c>
      <c r="L949" s="56" t="s">
        <v>38</v>
      </c>
      <c r="N949" t="s">
        <v>358</v>
      </c>
    </row>
    <row r="950" spans="1:16">
      <c r="A950" s="56"/>
      <c r="B950" s="66" t="s">
        <v>239</v>
      </c>
      <c r="C950" s="65">
        <v>1</v>
      </c>
      <c r="D950" s="62"/>
      <c r="E950" s="63">
        <v>2</v>
      </c>
      <c r="F950" s="64"/>
      <c r="G950" s="65"/>
      <c r="H950" s="56" t="s">
        <v>322</v>
      </c>
      <c r="I950" s="56" t="s">
        <v>316</v>
      </c>
      <c r="J950" s="56" t="s">
        <v>38</v>
      </c>
      <c r="K950" s="56" t="s">
        <v>38</v>
      </c>
      <c r="L950" s="56" t="s">
        <v>38</v>
      </c>
      <c r="N950" t="s">
        <v>358</v>
      </c>
    </row>
    <row r="951" spans="1:16">
      <c r="A951" s="56"/>
      <c r="B951" s="66" t="s">
        <v>240</v>
      </c>
      <c r="C951" s="65">
        <v>1</v>
      </c>
      <c r="D951" s="62"/>
      <c r="E951" s="63">
        <v>2</v>
      </c>
      <c r="F951" s="64"/>
      <c r="G951" s="65"/>
      <c r="H951" s="56" t="s">
        <v>322</v>
      </c>
      <c r="I951" s="56" t="s">
        <v>316</v>
      </c>
      <c r="J951" s="56" t="s">
        <v>38</v>
      </c>
      <c r="K951" s="56" t="s">
        <v>38</v>
      </c>
      <c r="L951" s="56" t="s">
        <v>38</v>
      </c>
      <c r="N951" t="s">
        <v>358</v>
      </c>
    </row>
    <row r="952" spans="1:16">
      <c r="A952" s="56"/>
      <c r="B952" s="66" t="s">
        <v>241</v>
      </c>
      <c r="C952" s="65">
        <v>1</v>
      </c>
      <c r="D952" s="62"/>
      <c r="E952" s="63">
        <v>2</v>
      </c>
      <c r="F952" s="64"/>
      <c r="G952" s="65"/>
      <c r="H952" s="56" t="s">
        <v>322</v>
      </c>
      <c r="I952" s="56" t="s">
        <v>316</v>
      </c>
      <c r="J952" s="56" t="s">
        <v>38</v>
      </c>
      <c r="K952" s="56" t="s">
        <v>38</v>
      </c>
      <c r="L952" s="56" t="s">
        <v>38</v>
      </c>
      <c r="N952" t="s">
        <v>358</v>
      </c>
    </row>
    <row r="953" spans="1:16">
      <c r="A953" s="56"/>
      <c r="B953" s="66" t="s">
        <v>155</v>
      </c>
      <c r="C953" s="65">
        <v>1</v>
      </c>
      <c r="D953" s="62"/>
      <c r="E953" s="63">
        <v>2</v>
      </c>
      <c r="F953" s="64"/>
      <c r="G953" s="65"/>
      <c r="H953" s="56" t="s">
        <v>322</v>
      </c>
      <c r="I953" s="56" t="s">
        <v>316</v>
      </c>
      <c r="J953" s="56" t="s">
        <v>360</v>
      </c>
      <c r="K953" s="56" t="s">
        <v>38</v>
      </c>
      <c r="L953" s="56" t="s">
        <v>38</v>
      </c>
      <c r="N953" t="s">
        <v>358</v>
      </c>
    </row>
    <row r="954" spans="1:16">
      <c r="A954" s="56"/>
      <c r="B954" s="66" t="s">
        <v>245</v>
      </c>
      <c r="C954" s="65">
        <v>1</v>
      </c>
      <c r="D954" s="62"/>
      <c r="E954" s="63">
        <v>3</v>
      </c>
      <c r="F954" s="64"/>
      <c r="G954" s="65"/>
      <c r="H954" s="56" t="s">
        <v>322</v>
      </c>
      <c r="I954" s="56" t="s">
        <v>315</v>
      </c>
      <c r="J954" s="56" t="s">
        <v>360</v>
      </c>
      <c r="K954" s="56" t="s">
        <v>38</v>
      </c>
      <c r="L954" s="56" t="s">
        <v>38</v>
      </c>
      <c r="M954" t="s">
        <v>308</v>
      </c>
      <c r="N954" t="s">
        <v>358</v>
      </c>
    </row>
    <row r="955" spans="1:16">
      <c r="A955" s="56"/>
      <c r="B955" s="66" t="s">
        <v>246</v>
      </c>
      <c r="C955" s="65">
        <v>1</v>
      </c>
      <c r="D955" s="62"/>
      <c r="E955" s="63">
        <v>3</v>
      </c>
      <c r="F955" s="64"/>
      <c r="G955" s="65"/>
      <c r="H955" s="56" t="s">
        <v>322</v>
      </c>
      <c r="I955" s="56" t="s">
        <v>315</v>
      </c>
      <c r="J955" s="56" t="s">
        <v>360</v>
      </c>
      <c r="K955" s="56" t="s">
        <v>38</v>
      </c>
      <c r="L955" s="56" t="s">
        <v>38</v>
      </c>
      <c r="M955" t="s">
        <v>308</v>
      </c>
      <c r="N955" t="s">
        <v>358</v>
      </c>
    </row>
    <row r="956" spans="1:16">
      <c r="A956" s="56"/>
      <c r="B956" s="66" t="s">
        <v>238</v>
      </c>
      <c r="C956" s="65">
        <v>1</v>
      </c>
      <c r="D956" s="62"/>
      <c r="E956" s="63">
        <v>3</v>
      </c>
      <c r="F956" s="64"/>
      <c r="G956" s="65"/>
      <c r="H956" s="56" t="s">
        <v>322</v>
      </c>
      <c r="I956" s="56" t="s">
        <v>316</v>
      </c>
      <c r="J956" s="56" t="s">
        <v>360</v>
      </c>
      <c r="K956" s="56" t="s">
        <v>38</v>
      </c>
      <c r="L956" s="56" t="s">
        <v>38</v>
      </c>
      <c r="N956" t="s">
        <v>358</v>
      </c>
    </row>
    <row r="957" spans="1:16">
      <c r="A957" s="56"/>
      <c r="B957" s="66" t="s">
        <v>246</v>
      </c>
      <c r="C957" s="65">
        <v>1</v>
      </c>
      <c r="D957" s="62"/>
      <c r="E957" s="63">
        <v>4</v>
      </c>
      <c r="F957" s="64"/>
      <c r="G957" s="65"/>
      <c r="H957" s="56" t="s">
        <v>322</v>
      </c>
      <c r="I957" s="56" t="s">
        <v>315</v>
      </c>
      <c r="J957" s="56" t="s">
        <v>360</v>
      </c>
      <c r="K957" s="56" t="s">
        <v>361</v>
      </c>
      <c r="L957" s="56" t="s">
        <v>38</v>
      </c>
      <c r="M957" t="s">
        <v>308</v>
      </c>
      <c r="N957" t="s">
        <v>358</v>
      </c>
    </row>
    <row r="958" spans="1:16">
      <c r="A958" s="56"/>
      <c r="B958" s="66" t="s">
        <v>155</v>
      </c>
      <c r="C958" s="65">
        <v>1</v>
      </c>
      <c r="D958" s="62"/>
      <c r="E958" s="63">
        <v>4</v>
      </c>
      <c r="F958" s="64"/>
      <c r="G958" s="65"/>
      <c r="H958" s="56" t="s">
        <v>322</v>
      </c>
      <c r="I958" s="56" t="s">
        <v>316</v>
      </c>
      <c r="J958" s="56" t="s">
        <v>360</v>
      </c>
      <c r="K958" s="56" t="s">
        <v>361</v>
      </c>
      <c r="L958" s="56" t="s">
        <v>38</v>
      </c>
      <c r="N958" t="s">
        <v>358</v>
      </c>
    </row>
    <row r="959" spans="1:16">
      <c r="A959" s="56"/>
      <c r="B959" s="66" t="s">
        <v>242</v>
      </c>
      <c r="C959" s="65">
        <v>1</v>
      </c>
      <c r="D959" s="62"/>
      <c r="E959" s="63">
        <v>4</v>
      </c>
      <c r="F959" s="64"/>
      <c r="G959" s="65"/>
      <c r="H959" s="56" t="s">
        <v>322</v>
      </c>
      <c r="I959" s="56" t="s">
        <v>316</v>
      </c>
      <c r="J959" s="56" t="s">
        <v>360</v>
      </c>
      <c r="K959" s="56" t="s">
        <v>361</v>
      </c>
      <c r="L959" s="56" t="s">
        <v>38</v>
      </c>
      <c r="N959" t="s">
        <v>358</v>
      </c>
    </row>
    <row r="960" spans="1:16">
      <c r="A960" s="56"/>
      <c r="B960" s="66" t="s">
        <v>245</v>
      </c>
      <c r="C960" s="65">
        <v>1</v>
      </c>
      <c r="D960" s="62"/>
      <c r="E960" s="63">
        <v>4</v>
      </c>
      <c r="F960" s="64"/>
      <c r="G960" s="65"/>
      <c r="H960" s="56" t="s">
        <v>322</v>
      </c>
      <c r="I960" s="56" t="s">
        <v>315</v>
      </c>
      <c r="J960" s="56" t="s">
        <v>360</v>
      </c>
      <c r="K960" s="56" t="s">
        <v>361</v>
      </c>
      <c r="L960" s="56" t="s">
        <v>38</v>
      </c>
      <c r="M960" t="s">
        <v>308</v>
      </c>
      <c r="N960" t="s">
        <v>358</v>
      </c>
    </row>
    <row r="961" spans="1:14">
      <c r="A961" s="56"/>
      <c r="B961" s="66" t="s">
        <v>246</v>
      </c>
      <c r="C961" s="65">
        <v>1</v>
      </c>
      <c r="D961" s="62"/>
      <c r="E961" s="63">
        <v>5</v>
      </c>
      <c r="F961" s="64"/>
      <c r="G961" s="65"/>
      <c r="H961" s="56" t="s">
        <v>322</v>
      </c>
      <c r="I961" s="56" t="s">
        <v>315</v>
      </c>
      <c r="J961" s="56" t="s">
        <v>360</v>
      </c>
      <c r="K961" s="56" t="s">
        <v>361</v>
      </c>
      <c r="L961" s="56" t="s">
        <v>38</v>
      </c>
      <c r="M961" t="s">
        <v>308</v>
      </c>
      <c r="N961" t="s">
        <v>358</v>
      </c>
    </row>
    <row r="962" spans="1:14">
      <c r="A962" s="56"/>
      <c r="B962" s="66" t="s">
        <v>242</v>
      </c>
      <c r="C962" s="65">
        <v>1</v>
      </c>
      <c r="D962" s="62"/>
      <c r="E962" s="63">
        <v>5</v>
      </c>
      <c r="F962" s="64"/>
      <c r="G962" s="65"/>
      <c r="H962" s="56" t="s">
        <v>322</v>
      </c>
      <c r="I962" s="56" t="s">
        <v>316</v>
      </c>
      <c r="J962" s="56" t="s">
        <v>360</v>
      </c>
      <c r="K962" s="56" t="s">
        <v>361</v>
      </c>
      <c r="L962" s="56" t="s">
        <v>38</v>
      </c>
      <c r="N962" t="s">
        <v>358</v>
      </c>
    </row>
    <row r="963" spans="1:14">
      <c r="A963" s="56"/>
      <c r="B963" s="66" t="s">
        <v>245</v>
      </c>
      <c r="C963" s="65">
        <v>1</v>
      </c>
      <c r="D963" s="62"/>
      <c r="E963" s="63">
        <v>5</v>
      </c>
      <c r="F963" s="64"/>
      <c r="G963" s="65"/>
      <c r="H963" s="56" t="s">
        <v>322</v>
      </c>
      <c r="I963" s="56" t="s">
        <v>315</v>
      </c>
      <c r="J963" s="56" t="s">
        <v>360</v>
      </c>
      <c r="K963" s="56" t="s">
        <v>361</v>
      </c>
      <c r="L963" s="56" t="s">
        <v>38</v>
      </c>
      <c r="M963" t="s">
        <v>308</v>
      </c>
      <c r="N963" t="s">
        <v>358</v>
      </c>
    </row>
    <row r="964" spans="1:14">
      <c r="A964" s="56"/>
      <c r="B964" s="66" t="s">
        <v>155</v>
      </c>
      <c r="C964" s="65">
        <v>1</v>
      </c>
      <c r="D964" s="62"/>
      <c r="E964" s="63">
        <v>5</v>
      </c>
      <c r="F964" s="64"/>
      <c r="G964" s="65"/>
      <c r="H964" s="56" t="s">
        <v>322</v>
      </c>
      <c r="I964" s="56" t="s">
        <v>316</v>
      </c>
      <c r="J964" s="56" t="s">
        <v>360</v>
      </c>
      <c r="K964" s="56" t="s">
        <v>361</v>
      </c>
      <c r="L964" s="56" t="s">
        <v>38</v>
      </c>
      <c r="N964" t="s">
        <v>358</v>
      </c>
    </row>
    <row r="965" spans="1:14">
      <c r="A965" s="56"/>
      <c r="B965" s="66" t="s">
        <v>246</v>
      </c>
      <c r="C965" s="65">
        <v>1</v>
      </c>
      <c r="D965" s="62"/>
      <c r="E965" s="63">
        <v>5</v>
      </c>
      <c r="F965" s="64"/>
      <c r="G965" s="65"/>
      <c r="H965" s="56" t="s">
        <v>322</v>
      </c>
      <c r="I965" s="56" t="s">
        <v>315</v>
      </c>
      <c r="J965" s="56" t="s">
        <v>360</v>
      </c>
      <c r="K965" s="56" t="s">
        <v>361</v>
      </c>
      <c r="L965" s="56" t="s">
        <v>38</v>
      </c>
      <c r="M965" t="s">
        <v>308</v>
      </c>
      <c r="N965" t="s">
        <v>358</v>
      </c>
    </row>
    <row r="966" spans="1:14">
      <c r="A966" s="56"/>
      <c r="B966" s="66" t="s">
        <v>133</v>
      </c>
      <c r="C966" s="67">
        <v>1</v>
      </c>
      <c r="D966" s="62"/>
      <c r="E966" s="63">
        <v>5</v>
      </c>
      <c r="F966" s="64"/>
      <c r="G966" s="65"/>
      <c r="H966" s="56" t="s">
        <v>322</v>
      </c>
      <c r="I966" s="56" t="s">
        <v>316</v>
      </c>
      <c r="J966" s="56" t="s">
        <v>360</v>
      </c>
      <c r="K966" s="56" t="s">
        <v>361</v>
      </c>
      <c r="L966" s="56" t="s">
        <v>38</v>
      </c>
      <c r="N966" t="s">
        <v>358</v>
      </c>
    </row>
    <row r="967" spans="1:14">
      <c r="A967" s="56"/>
      <c r="B967" s="66" t="s">
        <v>155</v>
      </c>
      <c r="C967" s="65">
        <v>1</v>
      </c>
      <c r="D967" s="62"/>
      <c r="E967" s="63">
        <v>5</v>
      </c>
      <c r="F967" s="64"/>
      <c r="G967" s="65"/>
      <c r="H967" s="56" t="s">
        <v>322</v>
      </c>
      <c r="I967" s="56" t="s">
        <v>316</v>
      </c>
      <c r="J967" s="56" t="s">
        <v>360</v>
      </c>
      <c r="K967" s="56" t="s">
        <v>361</v>
      </c>
      <c r="L967" s="56" t="s">
        <v>38</v>
      </c>
      <c r="N967" t="s">
        <v>358</v>
      </c>
    </row>
    <row r="968" spans="1:14">
      <c r="A968" s="56"/>
      <c r="B968" s="66" t="s">
        <v>242</v>
      </c>
      <c r="C968" s="65">
        <v>1</v>
      </c>
      <c r="D968" s="62"/>
      <c r="E968" s="63">
        <v>5</v>
      </c>
      <c r="F968" s="64"/>
      <c r="G968" s="65"/>
      <c r="H968" s="56" t="s">
        <v>322</v>
      </c>
      <c r="I968" s="56" t="s">
        <v>316</v>
      </c>
      <c r="J968" s="56" t="s">
        <v>360</v>
      </c>
      <c r="K968" s="56" t="s">
        <v>361</v>
      </c>
      <c r="L968" s="56" t="s">
        <v>38</v>
      </c>
      <c r="N968" t="s">
        <v>358</v>
      </c>
    </row>
    <row r="969" spans="1:14">
      <c r="A969" s="56"/>
      <c r="B969" s="66" t="s">
        <v>245</v>
      </c>
      <c r="C969" s="65">
        <v>1</v>
      </c>
      <c r="D969" s="62"/>
      <c r="E969" s="63">
        <v>5</v>
      </c>
      <c r="F969" s="64"/>
      <c r="G969" s="65"/>
      <c r="H969" s="56" t="s">
        <v>322</v>
      </c>
      <c r="I969" s="56" t="s">
        <v>315</v>
      </c>
      <c r="J969" s="56" t="s">
        <v>360</v>
      </c>
      <c r="K969" s="56" t="s">
        <v>361</v>
      </c>
      <c r="L969" s="56" t="s">
        <v>38</v>
      </c>
      <c r="M969" t="s">
        <v>308</v>
      </c>
      <c r="N969" t="s">
        <v>358</v>
      </c>
    </row>
    <row r="970" spans="1:14">
      <c r="A970" s="56"/>
      <c r="B970" s="66" t="s">
        <v>246</v>
      </c>
      <c r="C970" s="65">
        <v>1</v>
      </c>
      <c r="D970" s="62"/>
      <c r="E970" s="63">
        <v>5</v>
      </c>
      <c r="F970" s="64"/>
      <c r="G970" s="65"/>
      <c r="H970" s="56" t="s">
        <v>322</v>
      </c>
      <c r="I970" s="56" t="s">
        <v>315</v>
      </c>
      <c r="J970" s="56" t="s">
        <v>360</v>
      </c>
      <c r="K970" s="56" t="s">
        <v>361</v>
      </c>
      <c r="L970" s="56" t="s">
        <v>38</v>
      </c>
      <c r="M970" t="s">
        <v>308</v>
      </c>
      <c r="N970" t="s">
        <v>358</v>
      </c>
    </row>
    <row r="971" spans="1:14">
      <c r="A971" s="56"/>
      <c r="B971" s="66" t="s">
        <v>155</v>
      </c>
      <c r="C971" s="65">
        <v>1</v>
      </c>
      <c r="D971" s="62"/>
      <c r="E971" s="63">
        <v>5</v>
      </c>
      <c r="F971" s="64"/>
      <c r="G971" s="65"/>
      <c r="H971" s="56" t="s">
        <v>322</v>
      </c>
      <c r="I971" s="56" t="s">
        <v>316</v>
      </c>
      <c r="J971" s="56" t="s">
        <v>360</v>
      </c>
      <c r="K971" s="56" t="s">
        <v>361</v>
      </c>
      <c r="L971" s="56" t="s">
        <v>38</v>
      </c>
      <c r="N971" t="s">
        <v>358</v>
      </c>
    </row>
    <row r="972" spans="1:14">
      <c r="A972" s="56"/>
      <c r="B972" s="66" t="s">
        <v>242</v>
      </c>
      <c r="C972" s="65">
        <v>1</v>
      </c>
      <c r="D972" s="62"/>
      <c r="E972" s="63">
        <v>5</v>
      </c>
      <c r="F972" s="63"/>
      <c r="G972" s="65"/>
      <c r="H972" s="56" t="s">
        <v>38</v>
      </c>
      <c r="I972" s="56" t="s">
        <v>316</v>
      </c>
      <c r="J972" s="56" t="s">
        <v>360</v>
      </c>
      <c r="K972" s="56" t="s">
        <v>361</v>
      </c>
      <c r="L972" s="56" t="s">
        <v>38</v>
      </c>
      <c r="N972" t="s">
        <v>358</v>
      </c>
    </row>
    <row r="973" spans="1:14">
      <c r="A973" s="56"/>
      <c r="B973" s="66" t="s">
        <v>244</v>
      </c>
      <c r="C973" s="65">
        <v>1</v>
      </c>
      <c r="D973" s="62"/>
      <c r="E973" s="63">
        <v>5</v>
      </c>
      <c r="F973" s="63"/>
      <c r="G973" s="65"/>
      <c r="H973" s="56" t="s">
        <v>38</v>
      </c>
      <c r="I973" s="56" t="s">
        <v>315</v>
      </c>
      <c r="J973" s="56" t="s">
        <v>360</v>
      </c>
      <c r="K973" s="56" t="s">
        <v>361</v>
      </c>
      <c r="L973" s="56" t="s">
        <v>38</v>
      </c>
      <c r="M973" t="s">
        <v>308</v>
      </c>
      <c r="N973" t="s">
        <v>358</v>
      </c>
    </row>
    <row r="974" spans="1:14">
      <c r="A974" s="56"/>
      <c r="B974" s="66" t="s">
        <v>246</v>
      </c>
      <c r="C974" s="65">
        <v>1</v>
      </c>
      <c r="D974" s="62"/>
      <c r="E974" s="63">
        <v>5</v>
      </c>
      <c r="F974" s="63"/>
      <c r="G974" s="65"/>
      <c r="H974" s="56" t="s">
        <v>38</v>
      </c>
      <c r="I974" s="56" t="s">
        <v>315</v>
      </c>
      <c r="J974" s="56" t="s">
        <v>360</v>
      </c>
      <c r="K974" s="56" t="s">
        <v>361</v>
      </c>
      <c r="L974" s="56" t="s">
        <v>38</v>
      </c>
      <c r="M974" t="s">
        <v>308</v>
      </c>
      <c r="N974" t="s">
        <v>358</v>
      </c>
    </row>
    <row r="975" spans="1:14">
      <c r="A975" s="56"/>
      <c r="B975" s="66" t="s">
        <v>242</v>
      </c>
      <c r="C975" s="65">
        <v>1</v>
      </c>
      <c r="D975" s="62"/>
      <c r="E975" s="63">
        <v>5</v>
      </c>
      <c r="F975" s="63"/>
      <c r="G975" s="65"/>
      <c r="H975" s="56" t="s">
        <v>38</v>
      </c>
      <c r="I975" s="56" t="s">
        <v>316</v>
      </c>
      <c r="J975" s="56" t="s">
        <v>360</v>
      </c>
      <c r="K975" s="56" t="s">
        <v>361</v>
      </c>
      <c r="L975" s="56" t="s">
        <v>38</v>
      </c>
      <c r="N975" t="s">
        <v>358</v>
      </c>
    </row>
    <row r="976" spans="1:14">
      <c r="A976" s="56"/>
      <c r="B976" s="66" t="s">
        <v>244</v>
      </c>
      <c r="C976" s="65">
        <v>1</v>
      </c>
      <c r="D976" s="62"/>
      <c r="E976" s="63">
        <v>5</v>
      </c>
      <c r="F976" s="63"/>
      <c r="G976" s="65"/>
      <c r="H976" s="56" t="s">
        <v>38</v>
      </c>
      <c r="I976" s="56" t="s">
        <v>315</v>
      </c>
      <c r="J976" s="56" t="s">
        <v>38</v>
      </c>
      <c r="K976" s="56" t="s">
        <v>361</v>
      </c>
      <c r="L976" s="56" t="s">
        <v>38</v>
      </c>
      <c r="M976" t="s">
        <v>308</v>
      </c>
      <c r="N976" t="s">
        <v>358</v>
      </c>
    </row>
    <row r="977" spans="1:14">
      <c r="A977" s="56"/>
      <c r="B977" s="66" t="s">
        <v>246</v>
      </c>
      <c r="C977" s="65">
        <v>1</v>
      </c>
      <c r="D977" s="62"/>
      <c r="E977" s="63">
        <v>5</v>
      </c>
      <c r="F977" s="63"/>
      <c r="G977" s="65"/>
      <c r="H977" s="56" t="s">
        <v>38</v>
      </c>
      <c r="I977" s="56" t="s">
        <v>315</v>
      </c>
      <c r="J977" s="56" t="s">
        <v>38</v>
      </c>
      <c r="K977" s="56" t="s">
        <v>361</v>
      </c>
      <c r="L977" s="56" t="s">
        <v>38</v>
      </c>
      <c r="M977" t="s">
        <v>308</v>
      </c>
      <c r="N977" t="s">
        <v>358</v>
      </c>
    </row>
    <row r="978" spans="1:14">
      <c r="A978" s="56"/>
      <c r="B978" s="66" t="s">
        <v>242</v>
      </c>
      <c r="C978" s="65">
        <v>1</v>
      </c>
      <c r="D978" s="62"/>
      <c r="E978" s="63">
        <v>5</v>
      </c>
      <c r="F978" s="63"/>
      <c r="G978" s="65"/>
      <c r="H978" s="56" t="s">
        <v>38</v>
      </c>
      <c r="I978" s="56" t="s">
        <v>316</v>
      </c>
      <c r="J978" s="56" t="s">
        <v>38</v>
      </c>
      <c r="K978" s="56" t="s">
        <v>38</v>
      </c>
      <c r="L978" s="56" t="s">
        <v>38</v>
      </c>
      <c r="N978" t="s">
        <v>358</v>
      </c>
    </row>
    <row r="979" spans="1:14">
      <c r="A979" s="56"/>
      <c r="B979" s="66" t="s">
        <v>244</v>
      </c>
      <c r="C979" s="65">
        <v>1</v>
      </c>
      <c r="D979" s="62"/>
      <c r="E979" s="63">
        <v>5</v>
      </c>
      <c r="F979" s="63"/>
      <c r="G979" s="65"/>
      <c r="H979" s="56" t="s">
        <v>38</v>
      </c>
      <c r="I979" s="56" t="s">
        <v>315</v>
      </c>
      <c r="J979" s="56" t="s">
        <v>38</v>
      </c>
      <c r="K979" s="56" t="s">
        <v>38</v>
      </c>
      <c r="L979" s="56" t="s">
        <v>38</v>
      </c>
      <c r="M979" t="s">
        <v>308</v>
      </c>
      <c r="N979" t="s">
        <v>358</v>
      </c>
    </row>
    <row r="980" spans="1:14">
      <c r="A980" s="56"/>
      <c r="B980" s="66" t="s">
        <v>246</v>
      </c>
      <c r="C980" s="65">
        <v>1</v>
      </c>
      <c r="D980" s="62"/>
      <c r="E980" s="63">
        <v>5</v>
      </c>
      <c r="F980" s="63"/>
      <c r="G980" s="65"/>
      <c r="H980" s="56" t="s">
        <v>38</v>
      </c>
      <c r="I980" s="56" t="s">
        <v>315</v>
      </c>
      <c r="J980" s="56" t="s">
        <v>38</v>
      </c>
      <c r="K980" s="56" t="s">
        <v>38</v>
      </c>
      <c r="L980" s="56" t="s">
        <v>38</v>
      </c>
      <c r="M980" t="s">
        <v>308</v>
      </c>
      <c r="N980" t="s">
        <v>358</v>
      </c>
    </row>
    <row r="981" spans="1:14">
      <c r="A981" s="56"/>
      <c r="B981" s="66" t="s">
        <v>242</v>
      </c>
      <c r="C981" s="65">
        <v>1</v>
      </c>
      <c r="D981" s="62"/>
      <c r="E981" s="63">
        <v>5</v>
      </c>
      <c r="F981" s="63"/>
      <c r="G981" s="65"/>
      <c r="H981" s="56" t="s">
        <v>38</v>
      </c>
      <c r="I981" s="56" t="s">
        <v>316</v>
      </c>
      <c r="J981" s="56" t="s">
        <v>38</v>
      </c>
      <c r="K981" s="56" t="s">
        <v>38</v>
      </c>
      <c r="L981" s="56" t="s">
        <v>38</v>
      </c>
      <c r="N981" t="s">
        <v>358</v>
      </c>
    </row>
    <row r="982" spans="1:14">
      <c r="A982" s="56"/>
      <c r="B982" s="66" t="s">
        <v>133</v>
      </c>
      <c r="C982" s="67">
        <v>1</v>
      </c>
      <c r="D982" s="62"/>
      <c r="E982" s="63">
        <v>5</v>
      </c>
      <c r="F982" s="63"/>
      <c r="G982" s="65"/>
      <c r="H982" s="56" t="s">
        <v>38</v>
      </c>
      <c r="I982" s="56" t="s">
        <v>316</v>
      </c>
      <c r="J982" s="56" t="s">
        <v>38</v>
      </c>
      <c r="K982" s="56" t="s">
        <v>38</v>
      </c>
      <c r="L982" s="56" t="s">
        <v>38</v>
      </c>
      <c r="N982" t="s">
        <v>358</v>
      </c>
    </row>
    <row r="983" spans="1:14">
      <c r="A983" s="56"/>
      <c r="B983" s="66" t="s">
        <v>244</v>
      </c>
      <c r="C983" s="65">
        <v>1</v>
      </c>
      <c r="D983" s="62"/>
      <c r="E983" s="63">
        <v>5</v>
      </c>
      <c r="F983" s="63"/>
      <c r="G983" s="65"/>
      <c r="H983" s="56" t="s">
        <v>38</v>
      </c>
      <c r="I983" s="56" t="s">
        <v>315</v>
      </c>
      <c r="J983" s="56" t="s">
        <v>38</v>
      </c>
      <c r="K983" s="56" t="s">
        <v>38</v>
      </c>
      <c r="L983" s="56" t="s">
        <v>38</v>
      </c>
      <c r="M983" t="s">
        <v>308</v>
      </c>
      <c r="N983" t="s">
        <v>358</v>
      </c>
    </row>
    <row r="984" spans="1:14">
      <c r="A984" s="56"/>
      <c r="B984" s="66" t="s">
        <v>246</v>
      </c>
      <c r="C984" s="65">
        <v>1</v>
      </c>
      <c r="D984" s="62"/>
      <c r="E984" s="63">
        <v>5</v>
      </c>
      <c r="F984" s="63"/>
      <c r="G984" s="65"/>
      <c r="H984" s="56" t="s">
        <v>38</v>
      </c>
      <c r="I984" s="56" t="s">
        <v>315</v>
      </c>
      <c r="J984" s="56" t="s">
        <v>38</v>
      </c>
      <c r="K984" s="56" t="s">
        <v>38</v>
      </c>
      <c r="L984" s="56" t="s">
        <v>38</v>
      </c>
      <c r="M984" t="s">
        <v>308</v>
      </c>
      <c r="N984" t="s">
        <v>358</v>
      </c>
    </row>
    <row r="985" spans="1:14">
      <c r="A985" s="56"/>
      <c r="B985" s="66" t="s">
        <v>242</v>
      </c>
      <c r="C985" s="65">
        <v>1</v>
      </c>
      <c r="D985" s="62"/>
      <c r="E985" s="63">
        <v>5</v>
      </c>
      <c r="F985" s="63"/>
      <c r="G985" s="65"/>
      <c r="H985" s="56" t="s">
        <v>38</v>
      </c>
      <c r="I985" s="56" t="s">
        <v>316</v>
      </c>
      <c r="J985" s="56" t="s">
        <v>38</v>
      </c>
      <c r="K985" s="56" t="s">
        <v>38</v>
      </c>
      <c r="L985" s="56" t="s">
        <v>38</v>
      </c>
      <c r="N985" t="s">
        <v>358</v>
      </c>
    </row>
    <row r="986" spans="1:14">
      <c r="A986" s="56"/>
      <c r="B986" s="66" t="s">
        <v>244</v>
      </c>
      <c r="C986" s="65">
        <v>1</v>
      </c>
      <c r="D986" s="62"/>
      <c r="E986" s="63">
        <v>5</v>
      </c>
      <c r="F986" s="63"/>
      <c r="G986" s="65"/>
      <c r="H986" s="56" t="s">
        <v>38</v>
      </c>
      <c r="I986" s="56" t="s">
        <v>315</v>
      </c>
      <c r="J986" s="56" t="s">
        <v>38</v>
      </c>
      <c r="K986" s="56" t="s">
        <v>38</v>
      </c>
      <c r="L986" s="56" t="s">
        <v>38</v>
      </c>
      <c r="M986" t="s">
        <v>308</v>
      </c>
      <c r="N986" t="s">
        <v>358</v>
      </c>
    </row>
    <row r="987" spans="1:14">
      <c r="A987" s="56"/>
      <c r="B987" s="66" t="s">
        <v>246</v>
      </c>
      <c r="C987" s="65">
        <v>1</v>
      </c>
      <c r="D987" s="62"/>
      <c r="E987" s="63">
        <v>5</v>
      </c>
      <c r="F987" s="63"/>
      <c r="G987" s="65">
        <v>1</v>
      </c>
      <c r="H987" s="56" t="s">
        <v>38</v>
      </c>
      <c r="I987" s="56" t="s">
        <v>315</v>
      </c>
      <c r="J987" s="56" t="s">
        <v>38</v>
      </c>
      <c r="K987" s="56" t="s">
        <v>38</v>
      </c>
      <c r="L987" s="56" t="s">
        <v>38</v>
      </c>
      <c r="M987" t="s">
        <v>308</v>
      </c>
      <c r="N987" t="s">
        <v>358</v>
      </c>
    </row>
    <row r="988" spans="1:14">
      <c r="A988" s="56"/>
      <c r="B988" s="66" t="s">
        <v>239</v>
      </c>
      <c r="C988" s="65">
        <v>1</v>
      </c>
      <c r="D988" s="62"/>
      <c r="E988" s="63">
        <v>5</v>
      </c>
      <c r="F988" s="63"/>
      <c r="G988" s="65">
        <v>1</v>
      </c>
      <c r="H988" s="56" t="s">
        <v>38</v>
      </c>
      <c r="I988" s="56" t="s">
        <v>316</v>
      </c>
      <c r="J988" s="56" t="s">
        <v>38</v>
      </c>
      <c r="K988" s="56" t="s">
        <v>38</v>
      </c>
      <c r="L988" s="56" t="s">
        <v>38</v>
      </c>
      <c r="N988" t="s">
        <v>358</v>
      </c>
    </row>
    <row r="989" spans="1:14">
      <c r="A989" s="56"/>
      <c r="B989" s="66" t="s">
        <v>240</v>
      </c>
      <c r="C989" s="65">
        <v>1</v>
      </c>
      <c r="D989" s="62"/>
      <c r="E989" s="63">
        <v>5</v>
      </c>
      <c r="F989" s="63"/>
      <c r="G989" s="65">
        <v>1</v>
      </c>
      <c r="H989" s="56" t="s">
        <v>38</v>
      </c>
      <c r="I989" s="56" t="s">
        <v>316</v>
      </c>
      <c r="J989" s="56" t="s">
        <v>38</v>
      </c>
      <c r="K989" s="56" t="s">
        <v>38</v>
      </c>
      <c r="L989" s="56" t="s">
        <v>38</v>
      </c>
      <c r="N989" t="s">
        <v>358</v>
      </c>
    </row>
    <row r="990" spans="1:14">
      <c r="A990" s="56"/>
      <c r="B990" s="66" t="s">
        <v>241</v>
      </c>
      <c r="C990" s="65">
        <v>1</v>
      </c>
      <c r="D990" s="62"/>
      <c r="E990" s="63">
        <v>5</v>
      </c>
      <c r="F990" s="63"/>
      <c r="G990" s="65">
        <v>1</v>
      </c>
      <c r="H990" s="56" t="s">
        <v>38</v>
      </c>
      <c r="I990" s="56" t="s">
        <v>316</v>
      </c>
      <c r="J990" s="56" t="s">
        <v>38</v>
      </c>
      <c r="K990" s="56" t="s">
        <v>38</v>
      </c>
      <c r="L990" s="56" t="s">
        <v>38</v>
      </c>
      <c r="N990" t="s">
        <v>358</v>
      </c>
    </row>
    <row r="991" spans="1:14">
      <c r="A991" s="56"/>
      <c r="B991" s="66" t="s">
        <v>236</v>
      </c>
      <c r="C991" s="65">
        <v>1</v>
      </c>
      <c r="D991" s="62"/>
      <c r="E991" s="63">
        <v>5</v>
      </c>
      <c r="F991" s="63"/>
      <c r="G991" s="65">
        <v>1</v>
      </c>
      <c r="H991" s="56" t="s">
        <v>38</v>
      </c>
      <c r="I991" s="56" t="s">
        <v>316</v>
      </c>
      <c r="J991" s="56" t="s">
        <v>360</v>
      </c>
      <c r="K991" s="56" t="s">
        <v>38</v>
      </c>
      <c r="L991" s="56" t="s">
        <v>38</v>
      </c>
      <c r="N991" t="s">
        <v>358</v>
      </c>
    </row>
    <row r="992" spans="1:14">
      <c r="A992" s="56"/>
      <c r="B992" s="66" t="s">
        <v>238</v>
      </c>
      <c r="C992" s="65">
        <v>1</v>
      </c>
      <c r="D992" s="62"/>
      <c r="E992" s="63">
        <v>5</v>
      </c>
      <c r="F992" s="64"/>
      <c r="G992" s="65">
        <v>1</v>
      </c>
      <c r="H992" s="56" t="s">
        <v>38</v>
      </c>
      <c r="I992" s="56" t="s">
        <v>316</v>
      </c>
      <c r="J992" s="56" t="s">
        <v>360</v>
      </c>
      <c r="K992" s="56" t="s">
        <v>38</v>
      </c>
      <c r="L992" s="56" t="s">
        <v>38</v>
      </c>
      <c r="N992" t="s">
        <v>358</v>
      </c>
    </row>
    <row r="993" spans="1:14">
      <c r="A993" s="56"/>
      <c r="B993" s="66" t="s">
        <v>246</v>
      </c>
      <c r="C993" s="65">
        <v>1</v>
      </c>
      <c r="D993" s="62"/>
      <c r="E993" s="63">
        <v>5</v>
      </c>
      <c r="F993" s="63"/>
      <c r="G993" s="65">
        <v>1</v>
      </c>
      <c r="H993" s="56" t="s">
        <v>38</v>
      </c>
      <c r="I993" s="56" t="s">
        <v>315</v>
      </c>
      <c r="J993" s="56" t="s">
        <v>360</v>
      </c>
      <c r="K993" s="56" t="s">
        <v>361</v>
      </c>
      <c r="L993" s="56" t="s">
        <v>38</v>
      </c>
      <c r="M993" t="s">
        <v>308</v>
      </c>
      <c r="N993" t="s">
        <v>358</v>
      </c>
    </row>
    <row r="994" spans="1:14">
      <c r="A994" s="56"/>
      <c r="B994" s="66" t="s">
        <v>250</v>
      </c>
      <c r="C994" s="65">
        <v>1</v>
      </c>
      <c r="D994" s="62"/>
      <c r="E994" s="63">
        <v>5</v>
      </c>
      <c r="F994" s="63"/>
      <c r="G994" s="65">
        <v>1</v>
      </c>
      <c r="H994" s="56" t="s">
        <v>38</v>
      </c>
      <c r="I994" s="56" t="s">
        <v>316</v>
      </c>
      <c r="J994" s="56" t="s">
        <v>360</v>
      </c>
      <c r="K994" s="56" t="s">
        <v>361</v>
      </c>
      <c r="L994" s="56" t="s">
        <v>38</v>
      </c>
      <c r="N994" t="s">
        <v>358</v>
      </c>
    </row>
    <row r="995" spans="1:14">
      <c r="A995" s="56"/>
      <c r="B995" s="66" t="s">
        <v>245</v>
      </c>
      <c r="C995" s="65">
        <v>1</v>
      </c>
      <c r="D995" s="62">
        <v>1</v>
      </c>
      <c r="E995" s="63">
        <v>5</v>
      </c>
      <c r="F995" s="63">
        <v>5</v>
      </c>
      <c r="G995" s="65">
        <v>1</v>
      </c>
      <c r="H995" s="56" t="s">
        <v>38</v>
      </c>
      <c r="I995" s="56" t="s">
        <v>315</v>
      </c>
      <c r="J995" s="56" t="s">
        <v>360</v>
      </c>
      <c r="K995" s="56" t="s">
        <v>361</v>
      </c>
      <c r="L995" s="56" t="s">
        <v>38</v>
      </c>
      <c r="M995" t="s">
        <v>308</v>
      </c>
      <c r="N995" t="s">
        <v>358</v>
      </c>
    </row>
    <row r="996" spans="1:14">
      <c r="A996" s="56"/>
      <c r="B996" s="66" t="s">
        <v>246</v>
      </c>
      <c r="C996" s="65">
        <v>1</v>
      </c>
      <c r="D996" s="62">
        <v>1</v>
      </c>
      <c r="E996" s="63">
        <v>5</v>
      </c>
      <c r="F996" s="63">
        <v>5</v>
      </c>
      <c r="G996" s="65">
        <v>1</v>
      </c>
      <c r="H996" s="56" t="s">
        <v>38</v>
      </c>
      <c r="I996" s="56" t="s">
        <v>315</v>
      </c>
      <c r="J996" s="56" t="s">
        <v>360</v>
      </c>
      <c r="K996" s="56" t="s">
        <v>361</v>
      </c>
      <c r="L996" s="56" t="s">
        <v>38</v>
      </c>
      <c r="M996" t="s">
        <v>308</v>
      </c>
      <c r="N996" t="s">
        <v>358</v>
      </c>
    </row>
    <row r="997" spans="1:14">
      <c r="A997" s="56"/>
      <c r="B997" s="66" t="s">
        <v>133</v>
      </c>
      <c r="C997" s="67">
        <v>1</v>
      </c>
      <c r="D997" s="62">
        <v>1</v>
      </c>
      <c r="E997" s="63">
        <v>5</v>
      </c>
      <c r="F997" s="63">
        <v>5</v>
      </c>
      <c r="G997" s="65">
        <v>1</v>
      </c>
      <c r="H997" s="56" t="s">
        <v>38</v>
      </c>
      <c r="I997" s="56" t="s">
        <v>316</v>
      </c>
      <c r="J997" s="56" t="s">
        <v>360</v>
      </c>
      <c r="K997" s="56" t="s">
        <v>361</v>
      </c>
      <c r="L997" s="56" t="s">
        <v>38</v>
      </c>
      <c r="N997" t="s">
        <v>358</v>
      </c>
    </row>
    <row r="998" spans="1:14">
      <c r="A998" s="56"/>
      <c r="B998" s="66" t="s">
        <v>242</v>
      </c>
      <c r="C998" s="65">
        <v>1</v>
      </c>
      <c r="D998" s="62">
        <v>1</v>
      </c>
      <c r="E998" s="63">
        <v>5</v>
      </c>
      <c r="F998" s="63">
        <v>5</v>
      </c>
      <c r="G998" s="65">
        <v>1</v>
      </c>
      <c r="H998" s="56" t="s">
        <v>38</v>
      </c>
      <c r="I998" s="56" t="s">
        <v>316</v>
      </c>
      <c r="J998" s="56" t="s">
        <v>360</v>
      </c>
      <c r="K998" s="56" t="s">
        <v>361</v>
      </c>
      <c r="L998" s="56" t="s">
        <v>38</v>
      </c>
      <c r="N998" t="s">
        <v>358</v>
      </c>
    </row>
    <row r="999" spans="1:14">
      <c r="A999" s="56"/>
      <c r="B999" s="66" t="s">
        <v>245</v>
      </c>
      <c r="C999" s="65">
        <v>1</v>
      </c>
      <c r="D999" s="62">
        <v>1</v>
      </c>
      <c r="E999" s="63">
        <v>5</v>
      </c>
      <c r="F999" s="63">
        <v>5</v>
      </c>
      <c r="G999" s="65">
        <v>1</v>
      </c>
      <c r="H999" s="56" t="s">
        <v>38</v>
      </c>
      <c r="I999" s="56" t="s">
        <v>315</v>
      </c>
      <c r="J999" s="56" t="s">
        <v>360</v>
      </c>
      <c r="K999" s="56" t="s">
        <v>361</v>
      </c>
      <c r="L999" s="56" t="s">
        <v>38</v>
      </c>
      <c r="M999" t="s">
        <v>308</v>
      </c>
      <c r="N999" t="s">
        <v>358</v>
      </c>
    </row>
    <row r="1000" spans="1:14">
      <c r="A1000" s="56"/>
      <c r="B1000" s="66" t="s">
        <v>246</v>
      </c>
      <c r="C1000" s="65">
        <v>1</v>
      </c>
      <c r="D1000" s="62">
        <v>1</v>
      </c>
      <c r="E1000" s="63">
        <v>5</v>
      </c>
      <c r="F1000" s="63">
        <v>5</v>
      </c>
      <c r="G1000" s="65">
        <v>1</v>
      </c>
      <c r="H1000" s="56" t="s">
        <v>38</v>
      </c>
      <c r="I1000" s="56" t="s">
        <v>315</v>
      </c>
      <c r="J1000" s="56" t="s">
        <v>360</v>
      </c>
      <c r="K1000" s="56" t="s">
        <v>361</v>
      </c>
      <c r="L1000" s="56" t="s">
        <v>38</v>
      </c>
      <c r="M1000" t="s">
        <v>308</v>
      </c>
      <c r="N1000" t="s">
        <v>358</v>
      </c>
    </row>
    <row r="1001" spans="1:14">
      <c r="A1001" s="56"/>
      <c r="B1001" s="69" t="s">
        <v>242</v>
      </c>
      <c r="C1001" s="65">
        <v>1</v>
      </c>
      <c r="D1001" s="62">
        <v>1</v>
      </c>
      <c r="E1001" s="63">
        <v>5</v>
      </c>
      <c r="F1001" s="63">
        <v>5</v>
      </c>
      <c r="G1001" s="65">
        <v>1</v>
      </c>
      <c r="H1001" s="56" t="s">
        <v>38</v>
      </c>
      <c r="I1001" s="56" t="s">
        <v>316</v>
      </c>
      <c r="J1001" s="56" t="s">
        <v>360</v>
      </c>
      <c r="K1001" s="56" t="s">
        <v>361</v>
      </c>
      <c r="L1001" s="56" t="s">
        <v>38</v>
      </c>
      <c r="N1001" t="s">
        <v>358</v>
      </c>
    </row>
    <row r="1002" spans="1:14">
      <c r="A1002" s="56"/>
      <c r="B1002" s="69" t="s">
        <v>245</v>
      </c>
      <c r="C1002" s="65">
        <v>1</v>
      </c>
      <c r="D1002" s="62">
        <v>1</v>
      </c>
      <c r="E1002" s="63">
        <v>5</v>
      </c>
      <c r="F1002" s="63">
        <v>5</v>
      </c>
      <c r="G1002" s="65">
        <v>1</v>
      </c>
      <c r="H1002" s="56" t="s">
        <v>38</v>
      </c>
      <c r="I1002" s="56" t="s">
        <v>315</v>
      </c>
      <c r="J1002" s="56" t="s">
        <v>360</v>
      </c>
      <c r="K1002" s="56" t="s">
        <v>361</v>
      </c>
      <c r="L1002" s="56" t="s">
        <v>38</v>
      </c>
      <c r="M1002" t="s">
        <v>308</v>
      </c>
      <c r="N1002" t="s">
        <v>358</v>
      </c>
    </row>
    <row r="1003" spans="1:14">
      <c r="A1003" s="56"/>
      <c r="B1003" s="66" t="s">
        <v>246</v>
      </c>
      <c r="C1003" s="65">
        <v>1</v>
      </c>
      <c r="D1003" s="62">
        <v>1</v>
      </c>
      <c r="E1003" s="63">
        <v>5</v>
      </c>
      <c r="F1003" s="63">
        <v>5</v>
      </c>
      <c r="G1003" s="65">
        <v>1</v>
      </c>
      <c r="H1003" s="56" t="s">
        <v>38</v>
      </c>
      <c r="I1003" s="56" t="s">
        <v>315</v>
      </c>
      <c r="J1003" s="56" t="s">
        <v>360</v>
      </c>
      <c r="K1003" s="56" t="s">
        <v>361</v>
      </c>
      <c r="L1003" s="56" t="s">
        <v>38</v>
      </c>
      <c r="M1003" t="s">
        <v>308</v>
      </c>
      <c r="N1003" t="s">
        <v>358</v>
      </c>
    </row>
    <row r="1004" spans="1:14">
      <c r="A1004" s="56"/>
      <c r="B1004" s="66" t="s">
        <v>242</v>
      </c>
      <c r="C1004" s="65">
        <v>1</v>
      </c>
      <c r="D1004" s="62">
        <v>1</v>
      </c>
      <c r="E1004" s="63">
        <v>5</v>
      </c>
      <c r="F1004" s="63">
        <v>5</v>
      </c>
      <c r="G1004" s="65">
        <v>1</v>
      </c>
      <c r="H1004" s="56" t="s">
        <v>38</v>
      </c>
      <c r="I1004" s="56" t="s">
        <v>316</v>
      </c>
      <c r="J1004" s="56" t="s">
        <v>360</v>
      </c>
      <c r="K1004" s="56" t="s">
        <v>361</v>
      </c>
      <c r="L1004" s="56" t="s">
        <v>38</v>
      </c>
      <c r="N1004" t="s">
        <v>358</v>
      </c>
    </row>
    <row r="1005" spans="1:14">
      <c r="A1005" s="56"/>
      <c r="B1005" s="66" t="s">
        <v>245</v>
      </c>
      <c r="C1005" s="65">
        <v>1</v>
      </c>
      <c r="D1005" s="62">
        <v>1</v>
      </c>
      <c r="E1005" s="63">
        <v>5</v>
      </c>
      <c r="F1005" s="63">
        <v>5</v>
      </c>
      <c r="G1005" s="65">
        <v>1</v>
      </c>
      <c r="H1005" s="56" t="s">
        <v>38</v>
      </c>
      <c r="I1005" s="56" t="s">
        <v>315</v>
      </c>
      <c r="J1005" s="56" t="s">
        <v>360</v>
      </c>
      <c r="K1005" s="56" t="s">
        <v>361</v>
      </c>
      <c r="L1005" s="56" t="s">
        <v>38</v>
      </c>
      <c r="M1005" t="s">
        <v>308</v>
      </c>
      <c r="N1005" t="s">
        <v>358</v>
      </c>
    </row>
    <row r="1006" spans="1:14">
      <c r="A1006" s="56"/>
      <c r="B1006" s="66" t="s">
        <v>246</v>
      </c>
      <c r="C1006" s="65">
        <v>1</v>
      </c>
      <c r="D1006" s="62">
        <v>1</v>
      </c>
      <c r="E1006" s="63">
        <v>5</v>
      </c>
      <c r="F1006" s="63">
        <v>5</v>
      </c>
      <c r="G1006" s="65">
        <v>1</v>
      </c>
      <c r="H1006" s="56" t="s">
        <v>38</v>
      </c>
      <c r="I1006" s="56" t="s">
        <v>315</v>
      </c>
      <c r="J1006" s="56" t="s">
        <v>360</v>
      </c>
      <c r="K1006" s="56" t="s">
        <v>361</v>
      </c>
      <c r="L1006" s="56" t="s">
        <v>38</v>
      </c>
      <c r="M1006" t="s">
        <v>308</v>
      </c>
      <c r="N1006" t="s">
        <v>358</v>
      </c>
    </row>
    <row r="1007" spans="1:14">
      <c r="A1007" s="56"/>
      <c r="B1007" s="66" t="s">
        <v>242</v>
      </c>
      <c r="C1007" s="65">
        <v>1</v>
      </c>
      <c r="D1007" s="62">
        <v>1</v>
      </c>
      <c r="E1007" s="63">
        <v>5</v>
      </c>
      <c r="F1007" s="63">
        <v>5</v>
      </c>
      <c r="G1007" s="65">
        <v>1</v>
      </c>
      <c r="H1007" s="56" t="s">
        <v>38</v>
      </c>
      <c r="I1007" s="56" t="s">
        <v>316</v>
      </c>
      <c r="J1007" s="56" t="s">
        <v>360</v>
      </c>
      <c r="K1007" s="56" t="s">
        <v>361</v>
      </c>
      <c r="L1007" s="56" t="s">
        <v>38</v>
      </c>
      <c r="N1007" t="s">
        <v>358</v>
      </c>
    </row>
    <row r="1008" spans="1:14">
      <c r="A1008" s="56"/>
      <c r="B1008" s="66" t="s">
        <v>244</v>
      </c>
      <c r="C1008" s="65">
        <v>1</v>
      </c>
      <c r="D1008" s="62">
        <v>1</v>
      </c>
      <c r="E1008" s="63">
        <v>5</v>
      </c>
      <c r="F1008" s="63">
        <v>5</v>
      </c>
      <c r="G1008" s="65">
        <v>1</v>
      </c>
      <c r="H1008" s="56" t="s">
        <v>38</v>
      </c>
      <c r="I1008" s="56" t="s">
        <v>315</v>
      </c>
      <c r="J1008" s="56" t="s">
        <v>360</v>
      </c>
      <c r="K1008" s="56" t="s">
        <v>361</v>
      </c>
      <c r="L1008" s="56" t="s">
        <v>38</v>
      </c>
      <c r="M1008" t="s">
        <v>308</v>
      </c>
      <c r="N1008" t="s">
        <v>358</v>
      </c>
    </row>
    <row r="1009" spans="1:14">
      <c r="A1009" s="56"/>
      <c r="B1009" s="66" t="s">
        <v>246</v>
      </c>
      <c r="C1009" s="65">
        <v>1</v>
      </c>
      <c r="D1009" s="62">
        <v>1</v>
      </c>
      <c r="E1009" s="63">
        <v>5</v>
      </c>
      <c r="F1009" s="63">
        <v>5</v>
      </c>
      <c r="G1009" s="65">
        <v>1</v>
      </c>
      <c r="H1009" s="56" t="s">
        <v>38</v>
      </c>
      <c r="I1009" s="56" t="s">
        <v>315</v>
      </c>
      <c r="J1009" s="56" t="s">
        <v>360</v>
      </c>
      <c r="K1009" s="56" t="s">
        <v>361</v>
      </c>
      <c r="L1009" s="56" t="s">
        <v>38</v>
      </c>
      <c r="M1009" t="s">
        <v>308</v>
      </c>
      <c r="N1009" t="s">
        <v>358</v>
      </c>
    </row>
    <row r="1010" spans="1:14">
      <c r="A1010" s="56"/>
      <c r="B1010" s="66" t="s">
        <v>242</v>
      </c>
      <c r="C1010" s="65">
        <v>1</v>
      </c>
      <c r="D1010" s="62">
        <v>1</v>
      </c>
      <c r="E1010" s="63">
        <v>5</v>
      </c>
      <c r="F1010" s="63">
        <v>5</v>
      </c>
      <c r="G1010" s="65">
        <v>1</v>
      </c>
      <c r="H1010" s="56" t="s">
        <v>38</v>
      </c>
      <c r="I1010" s="56" t="s">
        <v>316</v>
      </c>
      <c r="J1010" s="56" t="s">
        <v>360</v>
      </c>
      <c r="K1010" s="56" t="s">
        <v>361</v>
      </c>
      <c r="L1010" s="56" t="s">
        <v>38</v>
      </c>
      <c r="N1010" t="s">
        <v>358</v>
      </c>
    </row>
    <row r="1011" spans="1:14">
      <c r="A1011" s="56"/>
      <c r="B1011" s="69" t="s">
        <v>244</v>
      </c>
      <c r="C1011" s="65">
        <v>1</v>
      </c>
      <c r="D1011" s="62"/>
      <c r="E1011" s="63">
        <v>5</v>
      </c>
      <c r="F1011" s="63">
        <v>5</v>
      </c>
      <c r="G1011" s="65"/>
      <c r="H1011" s="56" t="s">
        <v>38</v>
      </c>
      <c r="I1011" s="56" t="s">
        <v>315</v>
      </c>
      <c r="J1011" s="56" t="s">
        <v>360</v>
      </c>
      <c r="K1011" s="56" t="s">
        <v>361</v>
      </c>
      <c r="L1011" s="56" t="s">
        <v>38</v>
      </c>
      <c r="M1011" t="s">
        <v>308</v>
      </c>
      <c r="N1011" t="s">
        <v>358</v>
      </c>
    </row>
    <row r="1012" spans="1:14">
      <c r="A1012" s="56"/>
      <c r="B1012" s="69" t="s">
        <v>246</v>
      </c>
      <c r="C1012" s="65">
        <v>1</v>
      </c>
      <c r="D1012" s="62"/>
      <c r="E1012" s="63">
        <v>5</v>
      </c>
      <c r="F1012" s="63">
        <v>5</v>
      </c>
      <c r="G1012" s="65"/>
      <c r="H1012" s="56" t="s">
        <v>38</v>
      </c>
      <c r="I1012" s="56" t="s">
        <v>315</v>
      </c>
      <c r="J1012" s="56" t="s">
        <v>38</v>
      </c>
      <c r="K1012" s="56" t="s">
        <v>361</v>
      </c>
      <c r="L1012" s="56" t="s">
        <v>38</v>
      </c>
      <c r="M1012" t="s">
        <v>308</v>
      </c>
      <c r="N1012" t="s">
        <v>358</v>
      </c>
    </row>
    <row r="1013" spans="1:14">
      <c r="A1013" s="56"/>
      <c r="B1013" s="69" t="s">
        <v>133</v>
      </c>
      <c r="C1013" s="67">
        <v>1</v>
      </c>
      <c r="D1013" s="62"/>
      <c r="E1013" s="63">
        <v>5</v>
      </c>
      <c r="F1013" s="63">
        <v>5</v>
      </c>
      <c r="G1013" s="65"/>
      <c r="H1013" s="56" t="s">
        <v>38</v>
      </c>
      <c r="I1013" s="56" t="s">
        <v>316</v>
      </c>
      <c r="J1013" s="56" t="s">
        <v>38</v>
      </c>
      <c r="K1013" s="56" t="s">
        <v>361</v>
      </c>
      <c r="L1013" s="56" t="s">
        <v>38</v>
      </c>
      <c r="N1013" t="s">
        <v>358</v>
      </c>
    </row>
    <row r="1014" spans="1:14">
      <c r="A1014" s="56"/>
      <c r="B1014" s="68" t="s">
        <v>129</v>
      </c>
      <c r="C1014" s="67">
        <v>29</v>
      </c>
      <c r="D1014" s="62"/>
      <c r="E1014" s="63">
        <v>5</v>
      </c>
      <c r="F1014" s="63"/>
      <c r="G1014" s="65"/>
      <c r="H1014" s="56" t="s">
        <v>38</v>
      </c>
      <c r="I1014" s="56" t="s">
        <v>316</v>
      </c>
      <c r="J1014" s="56" t="s">
        <v>360</v>
      </c>
      <c r="K1014" s="56" t="s">
        <v>361</v>
      </c>
      <c r="L1014" s="56" t="s">
        <v>38</v>
      </c>
      <c r="N1014" t="s">
        <v>358</v>
      </c>
    </row>
    <row r="1015" spans="1:14">
      <c r="A1015" s="56"/>
      <c r="B1015" s="68" t="s">
        <v>130</v>
      </c>
      <c r="C1015" s="67">
        <v>29</v>
      </c>
      <c r="D1015" s="62"/>
      <c r="E1015" s="63">
        <v>5</v>
      </c>
      <c r="F1015" s="63"/>
      <c r="G1015" s="65"/>
      <c r="H1015" s="56" t="s">
        <v>38</v>
      </c>
      <c r="I1015" s="56" t="s">
        <v>316</v>
      </c>
      <c r="J1015" s="56" t="s">
        <v>360</v>
      </c>
      <c r="K1015" s="56" t="s">
        <v>361</v>
      </c>
      <c r="L1015" s="56" t="s">
        <v>38</v>
      </c>
      <c r="N1015" t="s">
        <v>358</v>
      </c>
    </row>
    <row r="1016" spans="1:14">
      <c r="A1016" s="56"/>
      <c r="B1016" s="68" t="s">
        <v>129</v>
      </c>
      <c r="C1016" s="67">
        <v>13</v>
      </c>
      <c r="D1016" s="62"/>
      <c r="E1016" s="63">
        <v>5</v>
      </c>
      <c r="F1016" s="63"/>
      <c r="G1016" s="65"/>
      <c r="H1016" s="56" t="s">
        <v>38</v>
      </c>
      <c r="I1016" s="56" t="s">
        <v>316</v>
      </c>
      <c r="J1016" s="56" t="s">
        <v>38</v>
      </c>
      <c r="K1016" s="56" t="s">
        <v>38</v>
      </c>
      <c r="L1016" s="56" t="s">
        <v>38</v>
      </c>
      <c r="N1016" t="s">
        <v>358</v>
      </c>
    </row>
    <row r="1017" spans="1:14">
      <c r="A1017" s="56"/>
      <c r="B1017" s="68" t="s">
        <v>130</v>
      </c>
      <c r="C1017" s="67">
        <v>13</v>
      </c>
      <c r="D1017" s="62"/>
      <c r="E1017" s="63">
        <v>5</v>
      </c>
      <c r="F1017" s="63"/>
      <c r="G1017" s="65"/>
      <c r="H1017" s="56" t="s">
        <v>38</v>
      </c>
      <c r="I1017" s="56" t="s">
        <v>316</v>
      </c>
      <c r="J1017" s="56" t="s">
        <v>38</v>
      </c>
      <c r="K1017" s="56" t="s">
        <v>38</v>
      </c>
      <c r="L1017" s="56" t="s">
        <v>38</v>
      </c>
      <c r="N1017" t="s">
        <v>358</v>
      </c>
    </row>
    <row r="1018" spans="1:14">
      <c r="A1018" s="56"/>
      <c r="B1018" s="68" t="s">
        <v>64</v>
      </c>
      <c r="C1018" s="65">
        <v>8</v>
      </c>
      <c r="D1018" s="62"/>
      <c r="E1018" s="63">
        <v>5</v>
      </c>
      <c r="F1018" s="64"/>
      <c r="G1018" s="65"/>
      <c r="H1018" s="56" t="s">
        <v>38</v>
      </c>
      <c r="I1018" s="56" t="s">
        <v>316</v>
      </c>
      <c r="J1018" s="56" t="s">
        <v>38</v>
      </c>
      <c r="K1018" s="56" t="s">
        <v>38</v>
      </c>
      <c r="L1018" s="56" t="s">
        <v>38</v>
      </c>
      <c r="N1018" t="s">
        <v>358</v>
      </c>
    </row>
    <row r="1019" spans="1:14">
      <c r="A1019" s="56"/>
      <c r="B1019" s="68" t="s">
        <v>38</v>
      </c>
      <c r="C1019" s="65">
        <v>1</v>
      </c>
      <c r="D1019" s="62"/>
      <c r="E1019" s="63"/>
      <c r="F1019" s="64"/>
      <c r="G1019" s="65"/>
      <c r="H1019" s="56" t="s">
        <v>38</v>
      </c>
      <c r="I1019" s="56" t="s">
        <v>38</v>
      </c>
      <c r="J1019" s="56" t="s">
        <v>38</v>
      </c>
      <c r="K1019" s="56" t="s">
        <v>38</v>
      </c>
      <c r="L1019" s="56" t="s">
        <v>38</v>
      </c>
    </row>
    <row r="1020" spans="1:14">
      <c r="A1020" s="56"/>
      <c r="B1020" s="68" t="s">
        <v>38</v>
      </c>
      <c r="C1020" s="65">
        <v>1</v>
      </c>
      <c r="D1020" s="62"/>
      <c r="E1020" s="63"/>
      <c r="F1020" s="64"/>
      <c r="G1020" s="65"/>
      <c r="H1020" s="56" t="s">
        <v>38</v>
      </c>
      <c r="I1020" s="56" t="s">
        <v>38</v>
      </c>
      <c r="J1020" s="56" t="s">
        <v>38</v>
      </c>
      <c r="K1020" s="56" t="s">
        <v>38</v>
      </c>
      <c r="L1020" s="56" t="s">
        <v>38</v>
      </c>
    </row>
    <row r="1021" spans="1:14">
      <c r="A1021" s="56"/>
      <c r="B1021" s="68" t="s">
        <v>38</v>
      </c>
      <c r="C1021" s="65">
        <v>1</v>
      </c>
      <c r="D1021" s="62"/>
      <c r="E1021" s="63"/>
      <c r="F1021" s="64"/>
      <c r="G1021" s="65"/>
      <c r="H1021" s="56" t="s">
        <v>38</v>
      </c>
      <c r="I1021" s="56" t="s">
        <v>38</v>
      </c>
      <c r="J1021" s="56" t="s">
        <v>38</v>
      </c>
      <c r="K1021" s="56" t="s">
        <v>38</v>
      </c>
      <c r="L1021" s="56" t="s">
        <v>38</v>
      </c>
    </row>
    <row r="1022" spans="1:14">
      <c r="A1022" s="56"/>
      <c r="B1022" s="70" t="s">
        <v>38</v>
      </c>
      <c r="C1022" s="65">
        <v>1</v>
      </c>
      <c r="D1022" s="62"/>
      <c r="E1022" s="64"/>
      <c r="F1022" s="64"/>
      <c r="G1022" s="65"/>
      <c r="H1022" s="56" t="s">
        <v>38</v>
      </c>
      <c r="I1022" s="56" t="s">
        <v>38</v>
      </c>
      <c r="J1022" s="56" t="s">
        <v>38</v>
      </c>
      <c r="K1022" s="56" t="s">
        <v>38</v>
      </c>
      <c r="L1022" s="56" t="s">
        <v>38</v>
      </c>
    </row>
    <row r="1023" spans="1:14">
      <c r="A1023" s="56"/>
      <c r="B1023" s="70" t="s">
        <v>38</v>
      </c>
      <c r="C1023" s="65">
        <v>1</v>
      </c>
      <c r="D1023" s="62"/>
      <c r="E1023" s="64"/>
      <c r="F1023" s="64"/>
      <c r="G1023" s="65"/>
      <c r="H1023" s="56" t="s">
        <v>38</v>
      </c>
      <c r="I1023" s="56" t="s">
        <v>38</v>
      </c>
      <c r="J1023" s="56" t="s">
        <v>38</v>
      </c>
      <c r="K1023" s="56" t="s">
        <v>38</v>
      </c>
      <c r="L1023" s="56" t="s">
        <v>38</v>
      </c>
    </row>
    <row r="1024" spans="1:14">
      <c r="A1024" s="56"/>
      <c r="B1024" s="70" t="s">
        <v>38</v>
      </c>
      <c r="C1024" s="65">
        <v>1</v>
      </c>
      <c r="D1024" s="62"/>
      <c r="E1024" s="64"/>
      <c r="F1024" s="64"/>
      <c r="G1024" s="65"/>
      <c r="H1024" s="56" t="s">
        <v>38</v>
      </c>
      <c r="I1024" s="56" t="s">
        <v>38</v>
      </c>
      <c r="J1024" s="56" t="s">
        <v>38</v>
      </c>
      <c r="K1024" s="56" t="s">
        <v>38</v>
      </c>
      <c r="L1024" s="56" t="s">
        <v>38</v>
      </c>
    </row>
    <row r="1025" spans="1:12">
      <c r="A1025" s="56"/>
      <c r="B1025" s="70" t="s">
        <v>38</v>
      </c>
      <c r="C1025" s="65">
        <v>1</v>
      </c>
      <c r="D1025" s="62"/>
      <c r="E1025" s="64"/>
      <c r="F1025" s="64"/>
      <c r="G1025" s="65"/>
      <c r="H1025" s="56" t="s">
        <v>38</v>
      </c>
      <c r="I1025" s="56" t="s">
        <v>38</v>
      </c>
      <c r="J1025" s="56" t="s">
        <v>38</v>
      </c>
      <c r="K1025" s="56" t="s">
        <v>38</v>
      </c>
      <c r="L1025" s="56" t="s">
        <v>38</v>
      </c>
    </row>
    <row r="1026" spans="1:12">
      <c r="A1026" s="56"/>
      <c r="B1026" s="70" t="s">
        <v>38</v>
      </c>
      <c r="C1026" s="65">
        <v>1</v>
      </c>
      <c r="D1026" s="62"/>
      <c r="E1026" s="64"/>
      <c r="F1026" s="64"/>
      <c r="G1026" s="65"/>
      <c r="H1026" s="56" t="s">
        <v>38</v>
      </c>
      <c r="I1026" s="56" t="s">
        <v>38</v>
      </c>
      <c r="J1026" s="56" t="s">
        <v>38</v>
      </c>
      <c r="K1026" s="56" t="s">
        <v>38</v>
      </c>
      <c r="L1026" s="56" t="s">
        <v>38</v>
      </c>
    </row>
    <row r="1027" spans="1:12">
      <c r="A1027" s="56"/>
      <c r="B1027" s="70" t="s">
        <v>38</v>
      </c>
      <c r="C1027" s="65">
        <v>1</v>
      </c>
      <c r="D1027" s="62"/>
      <c r="E1027" s="64"/>
      <c r="F1027" s="64"/>
      <c r="G1027" s="65"/>
      <c r="H1027" s="56" t="s">
        <v>38</v>
      </c>
      <c r="I1027" s="56" t="s">
        <v>38</v>
      </c>
      <c r="J1027" s="56" t="s">
        <v>38</v>
      </c>
      <c r="K1027" s="56" t="s">
        <v>38</v>
      </c>
      <c r="L1027" s="56" t="s">
        <v>38</v>
      </c>
    </row>
    <row r="1028" spans="1:12">
      <c r="A1028" s="56"/>
      <c r="B1028" s="70" t="s">
        <v>38</v>
      </c>
      <c r="C1028" s="65">
        <v>1</v>
      </c>
      <c r="D1028" s="62"/>
      <c r="E1028" s="64"/>
      <c r="F1028" s="64"/>
      <c r="G1028" s="65"/>
      <c r="H1028" s="56" t="s">
        <v>38</v>
      </c>
      <c r="I1028" s="56" t="s">
        <v>38</v>
      </c>
      <c r="J1028" s="56" t="s">
        <v>38</v>
      </c>
      <c r="K1028" s="56" t="s">
        <v>38</v>
      </c>
      <c r="L1028" s="56" t="s">
        <v>38</v>
      </c>
    </row>
    <row r="1029" spans="1:12">
      <c r="A1029" s="56"/>
      <c r="B1029" s="70" t="s">
        <v>38</v>
      </c>
      <c r="C1029" s="65">
        <v>1</v>
      </c>
      <c r="D1029" s="62"/>
      <c r="E1029" s="64"/>
      <c r="F1029" s="64"/>
      <c r="G1029" s="65"/>
      <c r="H1029" s="56" t="s">
        <v>38</v>
      </c>
      <c r="I1029" s="56" t="s">
        <v>38</v>
      </c>
      <c r="J1029" s="56" t="s">
        <v>38</v>
      </c>
      <c r="K1029" s="56" t="s">
        <v>38</v>
      </c>
      <c r="L1029" s="56" t="s">
        <v>38</v>
      </c>
    </row>
    <row r="1030" spans="1:12">
      <c r="A1030" s="56"/>
      <c r="B1030" s="70" t="s">
        <v>38</v>
      </c>
      <c r="C1030" s="65">
        <v>1</v>
      </c>
      <c r="D1030" s="62"/>
      <c r="E1030" s="64"/>
      <c r="F1030" s="64"/>
      <c r="G1030" s="65"/>
      <c r="H1030" s="56" t="s">
        <v>38</v>
      </c>
      <c r="I1030" s="56" t="s">
        <v>38</v>
      </c>
      <c r="J1030" s="56" t="s">
        <v>38</v>
      </c>
      <c r="K1030" s="56" t="s">
        <v>38</v>
      </c>
      <c r="L1030" s="56" t="s">
        <v>38</v>
      </c>
    </row>
    <row r="1031" spans="1:12">
      <c r="A1031" s="56"/>
      <c r="B1031" s="70" t="s">
        <v>38</v>
      </c>
      <c r="C1031" s="65">
        <v>1</v>
      </c>
      <c r="D1031" s="62"/>
      <c r="E1031" s="64"/>
      <c r="F1031" s="64"/>
      <c r="G1031" s="65"/>
      <c r="H1031" s="56" t="s">
        <v>38</v>
      </c>
      <c r="I1031" s="56" t="s">
        <v>38</v>
      </c>
      <c r="J1031" s="56" t="s">
        <v>38</v>
      </c>
      <c r="K1031" s="56" t="s">
        <v>38</v>
      </c>
      <c r="L1031" s="56" t="s">
        <v>38</v>
      </c>
    </row>
    <row r="1032" spans="1:12">
      <c r="A1032" s="56"/>
      <c r="B1032" s="70" t="s">
        <v>38</v>
      </c>
      <c r="C1032" s="65">
        <v>1</v>
      </c>
      <c r="D1032" s="62"/>
      <c r="E1032" s="64"/>
      <c r="F1032" s="64"/>
      <c r="G1032" s="65"/>
      <c r="H1032" s="56" t="s">
        <v>38</v>
      </c>
      <c r="I1032" s="56" t="s">
        <v>38</v>
      </c>
      <c r="J1032" s="56" t="s">
        <v>38</v>
      </c>
      <c r="K1032" s="56" t="s">
        <v>38</v>
      </c>
      <c r="L1032" s="56" t="s">
        <v>38</v>
      </c>
    </row>
    <row r="1033" spans="1:12">
      <c r="A1033" s="56"/>
      <c r="B1033" s="70" t="s">
        <v>38</v>
      </c>
      <c r="C1033" s="65">
        <v>1</v>
      </c>
      <c r="D1033" s="62"/>
      <c r="E1033" s="64"/>
      <c r="F1033" s="64"/>
      <c r="G1033" s="65"/>
      <c r="H1033" s="56" t="s">
        <v>38</v>
      </c>
      <c r="I1033" s="56" t="s">
        <v>38</v>
      </c>
      <c r="J1033" s="56" t="s">
        <v>38</v>
      </c>
      <c r="K1033" s="56" t="s">
        <v>38</v>
      </c>
      <c r="L1033" s="56" t="s">
        <v>38</v>
      </c>
    </row>
    <row r="1034" spans="1:12">
      <c r="A1034" s="56"/>
      <c r="B1034" s="70" t="s">
        <v>38</v>
      </c>
      <c r="C1034" s="65">
        <v>1</v>
      </c>
      <c r="D1034" s="62"/>
      <c r="E1034" s="64"/>
      <c r="F1034" s="64"/>
      <c r="G1034" s="65"/>
      <c r="H1034" s="56" t="s">
        <v>38</v>
      </c>
      <c r="I1034" s="56" t="s">
        <v>38</v>
      </c>
      <c r="J1034" s="56" t="s">
        <v>38</v>
      </c>
      <c r="K1034" s="56" t="s">
        <v>38</v>
      </c>
      <c r="L1034" s="56" t="s">
        <v>38</v>
      </c>
    </row>
    <row r="1035" spans="1:12">
      <c r="A1035" s="56"/>
      <c r="B1035" s="70" t="s">
        <v>38</v>
      </c>
      <c r="C1035" s="65">
        <v>1</v>
      </c>
      <c r="D1035" s="62"/>
      <c r="E1035" s="64"/>
      <c r="F1035" s="64"/>
      <c r="G1035" s="65"/>
      <c r="H1035" s="56" t="s">
        <v>38</v>
      </c>
      <c r="I1035" s="56" t="s">
        <v>38</v>
      </c>
      <c r="J1035" s="56" t="s">
        <v>38</v>
      </c>
      <c r="K1035" s="56" t="s">
        <v>38</v>
      </c>
      <c r="L1035" s="56" t="s">
        <v>38</v>
      </c>
    </row>
    <row r="1036" spans="1:12">
      <c r="A1036" s="56"/>
      <c r="B1036" s="70" t="s">
        <v>38</v>
      </c>
      <c r="C1036" s="65">
        <v>1</v>
      </c>
      <c r="D1036" s="62"/>
      <c r="E1036" s="64"/>
      <c r="F1036" s="64"/>
      <c r="G1036" s="65"/>
      <c r="H1036" s="56" t="s">
        <v>38</v>
      </c>
      <c r="I1036" s="56" t="s">
        <v>38</v>
      </c>
      <c r="J1036" s="56" t="s">
        <v>38</v>
      </c>
      <c r="K1036" s="56" t="s">
        <v>38</v>
      </c>
      <c r="L1036" s="56" t="s">
        <v>38</v>
      </c>
    </row>
    <row r="1037" spans="1:12">
      <c r="A1037" s="56"/>
      <c r="B1037" s="70" t="s">
        <v>38</v>
      </c>
      <c r="C1037" s="65">
        <v>1</v>
      </c>
      <c r="D1037" s="62"/>
      <c r="E1037" s="64"/>
      <c r="F1037" s="64"/>
      <c r="G1037" s="65"/>
      <c r="H1037" s="56" t="s">
        <v>38</v>
      </c>
      <c r="I1037" s="56" t="s">
        <v>38</v>
      </c>
      <c r="J1037" s="56" t="s">
        <v>38</v>
      </c>
      <c r="K1037" s="56" t="s">
        <v>38</v>
      </c>
      <c r="L1037" s="56" t="s">
        <v>38</v>
      </c>
    </row>
    <row r="1038" spans="1:12">
      <c r="A1038" s="56"/>
      <c r="B1038" s="70" t="s">
        <v>38</v>
      </c>
      <c r="C1038" s="65">
        <v>1</v>
      </c>
      <c r="D1038" s="62"/>
      <c r="E1038" s="64"/>
      <c r="F1038" s="64"/>
      <c r="G1038" s="65"/>
      <c r="H1038" s="56" t="s">
        <v>38</v>
      </c>
      <c r="I1038" s="56" t="s">
        <v>38</v>
      </c>
      <c r="J1038" s="56" t="s">
        <v>38</v>
      </c>
      <c r="K1038" s="56" t="s">
        <v>38</v>
      </c>
      <c r="L1038" s="56" t="s">
        <v>38</v>
      </c>
    </row>
    <row r="1039" spans="1:12">
      <c r="A1039" s="56"/>
      <c r="B1039" s="70" t="s">
        <v>38</v>
      </c>
      <c r="C1039" s="65">
        <v>1</v>
      </c>
      <c r="D1039" s="62"/>
      <c r="E1039" s="64"/>
      <c r="F1039" s="64"/>
      <c r="G1039" s="65"/>
      <c r="H1039" s="56" t="s">
        <v>38</v>
      </c>
      <c r="I1039" s="56" t="s">
        <v>38</v>
      </c>
      <c r="J1039" s="56" t="s">
        <v>38</v>
      </c>
      <c r="K1039" s="56" t="s">
        <v>38</v>
      </c>
      <c r="L1039" s="56" t="s">
        <v>38</v>
      </c>
    </row>
    <row r="1040" spans="1:12">
      <c r="A1040" s="56"/>
      <c r="B1040" s="70" t="s">
        <v>38</v>
      </c>
      <c r="C1040" s="65">
        <v>1</v>
      </c>
      <c r="D1040" s="62"/>
      <c r="E1040" s="64"/>
      <c r="F1040" s="64"/>
      <c r="G1040" s="65"/>
      <c r="H1040" s="56" t="s">
        <v>38</v>
      </c>
      <c r="I1040" s="56" t="s">
        <v>38</v>
      </c>
      <c r="J1040" s="56" t="s">
        <v>38</v>
      </c>
      <c r="K1040" s="56" t="s">
        <v>38</v>
      </c>
      <c r="L1040" s="56" t="s">
        <v>38</v>
      </c>
    </row>
    <row r="1041" spans="1:12">
      <c r="A1041" s="56"/>
      <c r="B1041" s="70" t="s">
        <v>38</v>
      </c>
      <c r="C1041" s="65">
        <v>1</v>
      </c>
      <c r="D1041" s="62"/>
      <c r="E1041" s="64"/>
      <c r="F1041" s="64"/>
      <c r="G1041" s="65"/>
      <c r="H1041" s="56" t="s">
        <v>38</v>
      </c>
      <c r="I1041" s="56" t="s">
        <v>38</v>
      </c>
      <c r="J1041" s="56" t="s">
        <v>38</v>
      </c>
      <c r="K1041" s="56" t="s">
        <v>38</v>
      </c>
      <c r="L1041" s="56" t="s">
        <v>38</v>
      </c>
    </row>
    <row r="1042" spans="1:12">
      <c r="A1042" s="56"/>
      <c r="B1042" s="70" t="s">
        <v>38</v>
      </c>
      <c r="C1042" s="65">
        <v>1</v>
      </c>
      <c r="D1042" s="62"/>
      <c r="E1042" s="64"/>
      <c r="F1042" s="64"/>
      <c r="G1042" s="65"/>
      <c r="H1042" s="56" t="s">
        <v>38</v>
      </c>
      <c r="I1042" s="56" t="s">
        <v>38</v>
      </c>
      <c r="J1042" s="56" t="s">
        <v>38</v>
      </c>
      <c r="K1042" s="56" t="s">
        <v>38</v>
      </c>
      <c r="L1042" s="56" t="s">
        <v>38</v>
      </c>
    </row>
    <row r="1043" spans="1:12">
      <c r="A1043" s="56"/>
      <c r="B1043" s="70" t="s">
        <v>38</v>
      </c>
      <c r="C1043" s="65">
        <v>1</v>
      </c>
      <c r="D1043" s="62"/>
      <c r="E1043" s="64"/>
      <c r="F1043" s="64"/>
      <c r="G1043" s="65"/>
      <c r="H1043" s="56" t="s">
        <v>38</v>
      </c>
      <c r="I1043" s="56" t="s">
        <v>38</v>
      </c>
      <c r="J1043" s="56" t="s">
        <v>38</v>
      </c>
      <c r="K1043" s="56" t="s">
        <v>38</v>
      </c>
      <c r="L1043" s="56" t="s">
        <v>38</v>
      </c>
    </row>
    <row r="1044" ht="15.15" spans="1:12">
      <c r="A1044" s="56"/>
      <c r="B1044" s="71" t="s">
        <v>38</v>
      </c>
      <c r="C1044" s="65">
        <v>1</v>
      </c>
      <c r="D1044" s="72"/>
      <c r="E1044" s="73"/>
      <c r="F1044" s="73"/>
      <c r="G1044" s="74"/>
      <c r="H1044" s="56" t="s">
        <v>38</v>
      </c>
      <c r="I1044" s="56" t="s">
        <v>38</v>
      </c>
      <c r="J1044" s="56" t="s">
        <v>38</v>
      </c>
      <c r="K1044" s="56" t="s">
        <v>38</v>
      </c>
      <c r="L1044" s="56" t="s">
        <v>38</v>
      </c>
    </row>
  </sheetData>
  <mergeCells count="1">
    <mergeCell ref="A4:A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2"/>
  <sheetViews>
    <sheetView topLeftCell="A40" workbookViewId="0">
      <selection activeCell="D82" sqref="D82"/>
    </sheetView>
  </sheetViews>
  <sheetFormatPr defaultColWidth="8.77777777777778" defaultRowHeight="14.4"/>
  <cols>
    <col min="1" max="1" width="9.77777777777778" customWidth="1"/>
    <col min="5" max="5" width="12.6666666666667" customWidth="1"/>
    <col min="6" max="6" width="13.5555555555556" customWidth="1"/>
    <col min="10" max="10" width="14.2222222222222" customWidth="1"/>
    <col min="11" max="11" width="13.3333333333333" customWidth="1"/>
    <col min="13" max="13" width="15.4444444444444" customWidth="1"/>
  </cols>
  <sheetData>
    <row r="1" spans="1:17">
      <c r="A1" t="s">
        <v>364</v>
      </c>
      <c r="B1" t="s">
        <v>365</v>
      </c>
      <c r="C1" t="s">
        <v>366</v>
      </c>
      <c r="D1" t="s">
        <v>367</v>
      </c>
      <c r="E1" t="s">
        <v>114</v>
      </c>
      <c r="F1" t="s">
        <v>368</v>
      </c>
      <c r="G1" t="s">
        <v>116</v>
      </c>
      <c r="H1" t="s">
        <v>369</v>
      </c>
      <c r="I1" t="s">
        <v>370</v>
      </c>
      <c r="J1" t="s">
        <v>371</v>
      </c>
      <c r="K1" t="s">
        <v>120</v>
      </c>
      <c r="L1" t="s">
        <v>372</v>
      </c>
      <c r="M1" t="s">
        <v>373</v>
      </c>
      <c r="N1" t="s">
        <v>374</v>
      </c>
      <c r="O1" t="s">
        <v>375</v>
      </c>
      <c r="P1" t="s">
        <v>376</v>
      </c>
      <c r="Q1" t="s">
        <v>377</v>
      </c>
    </row>
    <row r="2" spans="1:17">
      <c r="A2" t="s">
        <v>38</v>
      </c>
    </row>
    <row r="3" spans="1:17">
      <c r="A3" t="s">
        <v>298</v>
      </c>
      <c r="C3" s="8">
        <v>0.2</v>
      </c>
    </row>
    <row r="4" spans="1:17">
      <c r="A4" t="s">
        <v>318</v>
      </c>
      <c r="C4" s="8">
        <v>0.1</v>
      </c>
    </row>
    <row r="5" spans="1:17">
      <c r="A5" t="s">
        <v>299</v>
      </c>
      <c r="C5" s="8">
        <v>0.4</v>
      </c>
    </row>
    <row r="6" spans="1:17">
      <c r="A6" t="s">
        <v>303</v>
      </c>
      <c r="B6" t="s">
        <v>63</v>
      </c>
      <c r="D6" s="7">
        <v>0.075</v>
      </c>
    </row>
    <row r="7" spans="1:17">
      <c r="A7" t="s">
        <v>304</v>
      </c>
      <c r="B7" t="s">
        <v>63</v>
      </c>
      <c r="D7" s="7">
        <v>0.125</v>
      </c>
    </row>
    <row r="8" ht="17" customHeight="1" spans="1:17">
      <c r="A8" t="s">
        <v>305</v>
      </c>
      <c r="C8" s="8">
        <v>0.08</v>
      </c>
      <c r="E8" s="8">
        <v>0.3</v>
      </c>
    </row>
    <row r="9" spans="1:17">
      <c r="A9" t="s">
        <v>319</v>
      </c>
      <c r="C9" s="8">
        <v>0.15</v>
      </c>
      <c r="L9" s="8"/>
    </row>
    <row r="10" spans="1:17">
      <c r="A10" t="s">
        <v>321</v>
      </c>
      <c r="C10" s="8">
        <v>0.25</v>
      </c>
      <c r="L10" s="8"/>
    </row>
    <row r="11" spans="1:17">
      <c r="A11" t="s">
        <v>323</v>
      </c>
      <c r="L11" s="8">
        <v>0.1</v>
      </c>
    </row>
    <row r="12" spans="1:17">
      <c r="A12" t="s">
        <v>378</v>
      </c>
      <c r="L12" s="8"/>
      <c r="O12">
        <v>10</v>
      </c>
    </row>
    <row r="13" spans="1:17">
      <c r="A13" t="s">
        <v>325</v>
      </c>
      <c r="C13" s="8">
        <v>0.1</v>
      </c>
      <c r="L13" s="8">
        <v>0.1</v>
      </c>
      <c r="O13">
        <v>10</v>
      </c>
    </row>
    <row r="14" spans="1:17">
      <c r="A14" t="s">
        <v>326</v>
      </c>
      <c r="E14" s="8">
        <v>0.1</v>
      </c>
      <c r="F14" s="8">
        <v>0.5</v>
      </c>
    </row>
    <row r="15" spans="1:17">
      <c r="A15" t="s">
        <v>186</v>
      </c>
      <c r="B15" t="s">
        <v>93</v>
      </c>
      <c r="C15" s="8">
        <v>0.8</v>
      </c>
      <c r="M15" s="8">
        <v>0.24</v>
      </c>
    </row>
    <row r="16" spans="1:17">
      <c r="A16" t="s">
        <v>306</v>
      </c>
      <c r="C16" s="8">
        <v>0.45</v>
      </c>
    </row>
    <row r="17" spans="1:14">
      <c r="A17" t="s">
        <v>310</v>
      </c>
      <c r="C17" s="8">
        <v>0.08</v>
      </c>
    </row>
    <row r="18" spans="1:14">
      <c r="A18" t="s">
        <v>327</v>
      </c>
      <c r="C18" s="8">
        <v>0.1</v>
      </c>
    </row>
    <row r="19" spans="1:14">
      <c r="A19" t="s">
        <v>379</v>
      </c>
      <c r="C19" s="8">
        <v>0.15</v>
      </c>
    </row>
    <row r="20" spans="1:14">
      <c r="A20" t="s">
        <v>380</v>
      </c>
      <c r="C20" s="8">
        <v>0.2</v>
      </c>
    </row>
    <row r="21" spans="1:14">
      <c r="A21" t="s">
        <v>329</v>
      </c>
      <c r="B21" t="s">
        <v>53</v>
      </c>
      <c r="C21" s="8">
        <v>0.25</v>
      </c>
    </row>
    <row r="22" spans="1:14">
      <c r="A22" t="s">
        <v>330</v>
      </c>
      <c r="B22" t="s">
        <v>53</v>
      </c>
      <c r="C22" s="8">
        <v>0.05</v>
      </c>
    </row>
    <row r="23" spans="1:14">
      <c r="A23" t="s">
        <v>332</v>
      </c>
      <c r="C23" s="8">
        <v>0.5</v>
      </c>
    </row>
    <row r="24" spans="1:14">
      <c r="A24" t="s">
        <v>333</v>
      </c>
      <c r="G24" s="8"/>
      <c r="H24" s="8"/>
      <c r="N24">
        <v>15</v>
      </c>
    </row>
    <row r="25" spans="1:14">
      <c r="A25" t="s">
        <v>328</v>
      </c>
      <c r="B25" t="s">
        <v>54</v>
      </c>
      <c r="G25" s="8">
        <v>0.03</v>
      </c>
      <c r="H25" s="8">
        <v>0.1</v>
      </c>
    </row>
    <row r="26" spans="1:14">
      <c r="A26" t="s">
        <v>340</v>
      </c>
      <c r="H26" s="8">
        <v>0.18</v>
      </c>
    </row>
    <row r="27" spans="1:14">
      <c r="A27" t="s">
        <v>341</v>
      </c>
      <c r="H27" s="8">
        <v>0.18</v>
      </c>
    </row>
    <row r="28" spans="1:14">
      <c r="A28" t="s">
        <v>335</v>
      </c>
      <c r="B28" t="s">
        <v>42</v>
      </c>
      <c r="J28" s="8">
        <v>0.03</v>
      </c>
    </row>
    <row r="29" spans="1:14">
      <c r="A29" t="s">
        <v>342</v>
      </c>
      <c r="C29" s="8">
        <v>0.09</v>
      </c>
    </row>
    <row r="30" spans="1:14">
      <c r="A30" t="s">
        <v>336</v>
      </c>
      <c r="H30" s="8">
        <v>-0.18</v>
      </c>
    </row>
    <row r="31" spans="1:14">
      <c r="A31" t="s">
        <v>350</v>
      </c>
      <c r="K31">
        <v>4</v>
      </c>
    </row>
    <row r="32" spans="1:14">
      <c r="A32" t="s">
        <v>352</v>
      </c>
      <c r="K32">
        <v>8</v>
      </c>
    </row>
    <row r="33" spans="1:11">
      <c r="A33" t="s">
        <v>354</v>
      </c>
      <c r="K33">
        <v>10</v>
      </c>
    </row>
    <row r="34" spans="1:11">
      <c r="A34" t="s">
        <v>347</v>
      </c>
      <c r="B34" s="8"/>
      <c r="C34" s="8">
        <v>0.05</v>
      </c>
      <c r="E34" s="8"/>
      <c r="F34" s="8">
        <v>0.27</v>
      </c>
    </row>
    <row r="35" spans="1:11">
      <c r="A35" t="s">
        <v>356</v>
      </c>
      <c r="C35" s="8">
        <v>0.2</v>
      </c>
    </row>
    <row r="36" spans="1:11">
      <c r="A36" t="s">
        <v>351</v>
      </c>
      <c r="B36" t="s">
        <v>102</v>
      </c>
      <c r="E36" s="8"/>
      <c r="F36" s="8">
        <v>0.06</v>
      </c>
    </row>
    <row r="37" spans="1:11">
      <c r="A37" t="s">
        <v>353</v>
      </c>
      <c r="B37" t="s">
        <v>102</v>
      </c>
      <c r="E37" s="8"/>
      <c r="F37" s="8">
        <v>0.12</v>
      </c>
    </row>
    <row r="38" spans="1:11">
      <c r="A38" t="s">
        <v>355</v>
      </c>
      <c r="B38" t="s">
        <v>102</v>
      </c>
      <c r="E38" s="8"/>
      <c r="F38" s="8">
        <v>0.15</v>
      </c>
    </row>
    <row r="39" spans="1:11">
      <c r="A39" t="s">
        <v>381</v>
      </c>
      <c r="B39" t="s">
        <v>382</v>
      </c>
    </row>
    <row r="40" spans="1:11">
      <c r="A40" t="s">
        <v>301</v>
      </c>
      <c r="B40" t="s">
        <v>382</v>
      </c>
    </row>
    <row r="41" spans="1:11">
      <c r="A41" t="s">
        <v>302</v>
      </c>
      <c r="B41" t="s">
        <v>382</v>
      </c>
    </row>
    <row r="42" spans="1:11">
      <c r="A42" t="s">
        <v>300</v>
      </c>
      <c r="B42" t="s">
        <v>300</v>
      </c>
      <c r="H42" s="8">
        <v>0.1</v>
      </c>
      <c r="J42" s="7">
        <v>0.075</v>
      </c>
    </row>
    <row r="43" spans="1:11">
      <c r="A43" t="s">
        <v>324</v>
      </c>
      <c r="B43" t="s">
        <v>383</v>
      </c>
      <c r="C43" s="8">
        <v>0.12</v>
      </c>
    </row>
    <row r="44" spans="1:11">
      <c r="A44" t="s">
        <v>344</v>
      </c>
      <c r="B44" t="s">
        <v>384</v>
      </c>
      <c r="C44" s="8">
        <v>0.02</v>
      </c>
    </row>
    <row r="45" spans="1:11">
      <c r="A45" t="s">
        <v>346</v>
      </c>
      <c r="B45" t="s">
        <v>384</v>
      </c>
      <c r="C45" s="8">
        <v>0.12</v>
      </c>
    </row>
    <row r="46" spans="1:11">
      <c r="A46" t="s">
        <v>349</v>
      </c>
      <c r="B46" t="s">
        <v>384</v>
      </c>
      <c r="C46" s="8">
        <v>0.2</v>
      </c>
    </row>
    <row r="47" spans="1:11">
      <c r="A47" t="s">
        <v>357</v>
      </c>
      <c r="B47" t="s">
        <v>384</v>
      </c>
      <c r="C47" s="8">
        <v>0.15</v>
      </c>
    </row>
    <row r="48" spans="1:11">
      <c r="A48" t="s">
        <v>343</v>
      </c>
      <c r="B48" t="s">
        <v>101</v>
      </c>
      <c r="C48" s="8">
        <v>0.05</v>
      </c>
    </row>
    <row r="49" spans="1:17">
      <c r="A49" t="s">
        <v>345</v>
      </c>
      <c r="B49" t="s">
        <v>101</v>
      </c>
      <c r="C49" s="8">
        <v>0.1</v>
      </c>
    </row>
    <row r="50" spans="1:17">
      <c r="A50" t="s">
        <v>348</v>
      </c>
      <c r="B50" t="s">
        <v>101</v>
      </c>
      <c r="C50" s="8">
        <v>0.15</v>
      </c>
    </row>
    <row r="51" spans="1:17">
      <c r="A51" t="s">
        <v>331</v>
      </c>
      <c r="C51" s="8">
        <v>0.15</v>
      </c>
    </row>
    <row r="52" spans="1:17">
      <c r="A52" t="s">
        <v>322</v>
      </c>
      <c r="C52" s="8">
        <v>0.02</v>
      </c>
    </row>
    <row r="53" spans="1:17">
      <c r="A53" t="s">
        <v>337</v>
      </c>
      <c r="C53" s="8">
        <v>0.2</v>
      </c>
    </row>
    <row r="54" spans="1:17">
      <c r="A54" t="s">
        <v>385</v>
      </c>
      <c r="B54" t="s">
        <v>385</v>
      </c>
      <c r="C54" s="8">
        <v>0.1</v>
      </c>
    </row>
    <row r="55" spans="1:17">
      <c r="A55" s="9" t="s">
        <v>334</v>
      </c>
      <c r="B55" s="10" t="s">
        <v>41</v>
      </c>
      <c r="C55" s="10">
        <v>0.02</v>
      </c>
    </row>
    <row r="56" spans="1:17">
      <c r="A56" s="9" t="s">
        <v>338</v>
      </c>
      <c r="B56" s="10" t="s">
        <v>41</v>
      </c>
      <c r="C56" s="10">
        <v>0.05</v>
      </c>
    </row>
    <row r="57" spans="1:17">
      <c r="A57" s="9" t="s">
        <v>339</v>
      </c>
      <c r="B57" s="10" t="s">
        <v>41</v>
      </c>
      <c r="C57" s="10">
        <v>0.1</v>
      </c>
    </row>
    <row r="58" spans="1:17">
      <c r="A58" t="s">
        <v>360</v>
      </c>
      <c r="C58" s="8">
        <v>0.12</v>
      </c>
    </row>
    <row r="59" spans="1:17">
      <c r="A59" t="s">
        <v>361</v>
      </c>
      <c r="C59" s="8">
        <v>0.08</v>
      </c>
      <c r="N59">
        <v>8</v>
      </c>
      <c r="O59">
        <v>8</v>
      </c>
      <c r="P59">
        <v>8</v>
      </c>
      <c r="Q59">
        <v>8</v>
      </c>
    </row>
    <row r="60" spans="1:17">
      <c r="A60" t="s">
        <v>362</v>
      </c>
      <c r="B60" t="s">
        <v>84</v>
      </c>
      <c r="C60" s="8">
        <v>0.15</v>
      </c>
      <c r="F60" s="8">
        <v>0.1</v>
      </c>
    </row>
    <row r="61" spans="1:17">
      <c r="A61" t="s">
        <v>309</v>
      </c>
      <c r="B61" t="s">
        <v>76</v>
      </c>
      <c r="C61" s="8"/>
      <c r="F61" s="8">
        <v>0.02</v>
      </c>
      <c r="K61">
        <v>2</v>
      </c>
    </row>
    <row r="62" spans="1:17">
      <c r="A62" t="s">
        <v>307</v>
      </c>
      <c r="B62" t="s">
        <v>76</v>
      </c>
      <c r="C62" s="8"/>
      <c r="F62" s="8">
        <v>0.03</v>
      </c>
      <c r="K62">
        <v>3</v>
      </c>
    </row>
    <row r="63" spans="1:17">
      <c r="A63" t="s">
        <v>312</v>
      </c>
      <c r="B63" t="s">
        <v>76</v>
      </c>
      <c r="C63" s="8"/>
      <c r="F63" s="8">
        <v>0.04</v>
      </c>
      <c r="K63">
        <v>4</v>
      </c>
    </row>
    <row r="64" spans="1:17">
      <c r="A64" t="s">
        <v>311</v>
      </c>
      <c r="B64" t="s">
        <v>76</v>
      </c>
      <c r="C64" s="8"/>
      <c r="F64" s="8">
        <v>0.06</v>
      </c>
      <c r="K64">
        <v>6</v>
      </c>
    </row>
    <row r="65" spans="1:16">
      <c r="A65" t="s">
        <v>359</v>
      </c>
      <c r="B65" t="s">
        <v>76</v>
      </c>
      <c r="F65" s="8">
        <v>0.06</v>
      </c>
      <c r="K65">
        <v>6</v>
      </c>
    </row>
    <row r="66" spans="1:16">
      <c r="A66" t="s">
        <v>313</v>
      </c>
      <c r="B66" t="s">
        <v>76</v>
      </c>
      <c r="F66" s="8">
        <v>0.09</v>
      </c>
      <c r="K66">
        <v>9</v>
      </c>
    </row>
    <row r="67" spans="1:16">
      <c r="A67" t="s">
        <v>317</v>
      </c>
      <c r="B67" t="s">
        <v>76</v>
      </c>
      <c r="F67" s="8">
        <v>0.08</v>
      </c>
      <c r="K67">
        <v>8</v>
      </c>
    </row>
    <row r="68" spans="1:16">
      <c r="A68" t="s">
        <v>314</v>
      </c>
      <c r="B68" t="s">
        <v>76</v>
      </c>
      <c r="F68" s="8">
        <v>0.12</v>
      </c>
      <c r="K68">
        <v>12</v>
      </c>
    </row>
    <row r="69" spans="1:16">
      <c r="A69" t="s">
        <v>316</v>
      </c>
      <c r="B69" t="s">
        <v>76</v>
      </c>
      <c r="F69" s="8">
        <v>0.1</v>
      </c>
      <c r="K69">
        <v>10</v>
      </c>
    </row>
    <row r="70" spans="1:16">
      <c r="A70" t="s">
        <v>315</v>
      </c>
      <c r="B70" t="s">
        <v>76</v>
      </c>
      <c r="F70" s="8">
        <v>0.15</v>
      </c>
      <c r="K70">
        <v>15</v>
      </c>
    </row>
    <row r="71" spans="1:16">
      <c r="A71" t="s">
        <v>308</v>
      </c>
      <c r="B71" t="s">
        <v>308</v>
      </c>
      <c r="C71" s="8">
        <v>0.05</v>
      </c>
    </row>
    <row r="72" spans="1:16">
      <c r="A72" t="s">
        <v>358</v>
      </c>
      <c r="P72">
        <v>12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F12" sqref="F12"/>
    </sheetView>
  </sheetViews>
  <sheetFormatPr defaultColWidth="8.77777777777778" defaultRowHeight="14.4" outlineLevelCol="5"/>
  <cols>
    <col min="2" max="2" width="12.4444444444444" customWidth="1"/>
    <col min="3" max="3" width="14.4444444444444" customWidth="1"/>
    <col min="4" max="4" width="17.5555555555556" customWidth="1"/>
    <col min="5" max="5" width="16.5555555555556" customWidth="1"/>
  </cols>
  <sheetData>
    <row r="1" spans="1:6">
      <c r="A1" t="s">
        <v>386</v>
      </c>
      <c r="B1" t="s">
        <v>367</v>
      </c>
      <c r="C1" t="s">
        <v>368</v>
      </c>
      <c r="D1" t="s">
        <v>370</v>
      </c>
      <c r="E1" t="s">
        <v>387</v>
      </c>
      <c r="F1" t="s">
        <v>2</v>
      </c>
    </row>
    <row r="2" spans="1:6">
      <c r="A2" t="s">
        <v>388</v>
      </c>
      <c r="B2" s="8">
        <v>0.1</v>
      </c>
    </row>
    <row r="3" spans="1:6">
      <c r="A3" t="s">
        <v>300</v>
      </c>
    </row>
    <row r="4" spans="1:6">
      <c r="A4" t="s">
        <v>389</v>
      </c>
      <c r="C4" s="8">
        <v>0.25</v>
      </c>
    </row>
    <row r="5" spans="1:6">
      <c r="A5" t="s">
        <v>390</v>
      </c>
      <c r="C5" s="8">
        <v>0.1</v>
      </c>
    </row>
    <row r="6" spans="1:6">
      <c r="A6" t="s">
        <v>391</v>
      </c>
      <c r="C6" s="8">
        <v>0.15</v>
      </c>
      <c r="D6" s="8">
        <v>0.05</v>
      </c>
    </row>
    <row r="7" spans="1:6">
      <c r="A7" t="s">
        <v>383</v>
      </c>
      <c r="E7" s="8">
        <v>0.1</v>
      </c>
    </row>
    <row r="8" spans="1:6">
      <c r="A8" t="s">
        <v>385</v>
      </c>
    </row>
    <row r="9" spans="1:6">
      <c r="A9" t="s">
        <v>392</v>
      </c>
      <c r="F9" s="8">
        <v>0.05</v>
      </c>
    </row>
    <row r="10" spans="1:6">
      <c r="A10" t="s">
        <v>382</v>
      </c>
    </row>
    <row r="11" spans="1:6">
      <c r="A11" t="s">
        <v>384</v>
      </c>
    </row>
    <row r="12" spans="1:6">
      <c r="A12" t="s">
        <v>308</v>
      </c>
      <c r="F12" s="8">
        <v>0.05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workbookViewId="0">
      <selection activeCell="B5" sqref="B5"/>
    </sheetView>
  </sheetViews>
  <sheetFormatPr defaultColWidth="8.88888888888889" defaultRowHeight="14.4" outlineLevelCol="2"/>
  <cols>
    <col min="1" max="1" width="13.2222222222222" customWidth="1"/>
  </cols>
  <sheetData>
    <row r="1" spans="1:3">
      <c r="A1" t="s">
        <v>393</v>
      </c>
      <c r="B1" t="s">
        <v>394</v>
      </c>
      <c r="C1" t="s">
        <v>395</v>
      </c>
    </row>
    <row r="2" spans="1:3">
      <c r="A2" t="s">
        <v>396</v>
      </c>
      <c r="B2">
        <v>40.4</v>
      </c>
      <c r="C2">
        <f>B2</f>
        <v>40.4</v>
      </c>
    </row>
    <row r="3" spans="1:3">
      <c r="A3" t="s">
        <v>397</v>
      </c>
      <c r="B3">
        <f>B2</f>
        <v>40.4</v>
      </c>
      <c r="C3">
        <f>B3</f>
        <v>40.4</v>
      </c>
    </row>
    <row r="4" spans="1:3">
      <c r="A4" t="s">
        <v>398</v>
      </c>
      <c r="B4">
        <f>B2</f>
        <v>40.4</v>
      </c>
      <c r="C4">
        <f>B4</f>
        <v>40.4</v>
      </c>
    </row>
    <row r="5" spans="1:3">
      <c r="A5" t="s">
        <v>252</v>
      </c>
      <c r="B5">
        <v>63.8</v>
      </c>
      <c r="C5">
        <f>B5</f>
        <v>63.8</v>
      </c>
    </row>
    <row r="6" spans="1:3">
      <c r="A6" t="s">
        <v>251</v>
      </c>
      <c r="B6">
        <f>B5</f>
        <v>63.8</v>
      </c>
      <c r="C6">
        <f>B6</f>
        <v>63.8</v>
      </c>
    </row>
    <row r="7" spans="1:3">
      <c r="A7" t="s">
        <v>266</v>
      </c>
      <c r="B7" s="7">
        <v>0.066</v>
      </c>
      <c r="C7" s="7">
        <f>B7*0.889</f>
        <v>0.058674</v>
      </c>
    </row>
    <row r="8" spans="1:3">
      <c r="A8" t="s">
        <v>267</v>
      </c>
      <c r="B8" s="7">
        <v>0.074</v>
      </c>
      <c r="C8" s="7">
        <f>B8*0.69</f>
        <v>0.05106</v>
      </c>
    </row>
    <row r="9" spans="1:3">
      <c r="A9" t="s">
        <v>268</v>
      </c>
      <c r="B9" s="7">
        <v>0.036</v>
      </c>
      <c r="C9" s="7">
        <f>B9*0.69</f>
        <v>0.02484</v>
      </c>
    </row>
    <row r="10" spans="1:3">
      <c r="A10" t="s">
        <v>275</v>
      </c>
      <c r="B10" s="7">
        <v>0.026</v>
      </c>
      <c r="C10" s="7">
        <f>B10</f>
        <v>0.026</v>
      </c>
    </row>
    <row r="11" spans="1:3">
      <c r="A11" t="s">
        <v>31</v>
      </c>
      <c r="B11" s="7">
        <v>0.052</v>
      </c>
      <c r="C11" s="7">
        <f t="shared" ref="C11:C27" si="0">B11</f>
        <v>0.052</v>
      </c>
    </row>
    <row r="12" spans="1:3">
      <c r="A12" t="s">
        <v>32</v>
      </c>
      <c r="B12" s="7">
        <v>0.052</v>
      </c>
      <c r="C12" s="7">
        <f t="shared" si="0"/>
        <v>0.052</v>
      </c>
    </row>
    <row r="13" spans="1:3">
      <c r="A13" t="s">
        <v>276</v>
      </c>
      <c r="B13" s="7">
        <v>0.026</v>
      </c>
      <c r="C13" s="7">
        <f t="shared" si="0"/>
        <v>0.026</v>
      </c>
    </row>
    <row r="14" spans="1:3">
      <c r="A14" t="s">
        <v>141</v>
      </c>
      <c r="B14" s="7">
        <v>0.08</v>
      </c>
      <c r="C14" s="7">
        <f t="shared" si="0"/>
        <v>0.08</v>
      </c>
    </row>
    <row r="15" spans="1:3">
      <c r="A15" t="s">
        <v>137</v>
      </c>
      <c r="B15" s="7">
        <f>B14</f>
        <v>0.08</v>
      </c>
      <c r="C15" s="7">
        <f t="shared" si="0"/>
        <v>0.08</v>
      </c>
    </row>
    <row r="16" spans="1:3">
      <c r="A16" t="s">
        <v>149</v>
      </c>
      <c r="B16" s="7">
        <f>B14</f>
        <v>0.08</v>
      </c>
      <c r="C16" s="7">
        <f t="shared" si="0"/>
        <v>0.08</v>
      </c>
    </row>
    <row r="17" spans="1:3">
      <c r="A17" t="s">
        <v>153</v>
      </c>
      <c r="B17" s="7">
        <f>B14</f>
        <v>0.08</v>
      </c>
      <c r="C17" s="7">
        <f t="shared" si="0"/>
        <v>0.08</v>
      </c>
    </row>
    <row r="18" spans="1:3">
      <c r="A18" t="s">
        <v>399</v>
      </c>
      <c r="B18">
        <v>36.2</v>
      </c>
      <c r="C18">
        <f t="shared" si="0"/>
        <v>36.2</v>
      </c>
    </row>
    <row r="19" spans="1:3">
      <c r="A19" t="s">
        <v>400</v>
      </c>
      <c r="B19">
        <f>B18</f>
        <v>36.2</v>
      </c>
      <c r="C19">
        <f t="shared" si="0"/>
        <v>36.2</v>
      </c>
    </row>
    <row r="20" spans="1:3">
      <c r="A20" t="s">
        <v>401</v>
      </c>
      <c r="B20">
        <f>B18</f>
        <v>36.2</v>
      </c>
      <c r="C20">
        <f t="shared" si="0"/>
        <v>36.2</v>
      </c>
    </row>
    <row r="21" spans="1:3">
      <c r="A21" t="s">
        <v>402</v>
      </c>
      <c r="B21">
        <f>B18</f>
        <v>36.2</v>
      </c>
      <c r="C21">
        <f t="shared" si="0"/>
        <v>36.2</v>
      </c>
    </row>
    <row r="22" spans="1:3">
      <c r="A22" t="s">
        <v>403</v>
      </c>
      <c r="B22">
        <f>B18</f>
        <v>36.2</v>
      </c>
      <c r="C22">
        <f t="shared" si="0"/>
        <v>36.2</v>
      </c>
    </row>
    <row r="23" spans="1:3">
      <c r="A23" t="s">
        <v>404</v>
      </c>
      <c r="B23">
        <f>B18</f>
        <v>36.2</v>
      </c>
      <c r="C23">
        <f t="shared" si="0"/>
        <v>36.2</v>
      </c>
    </row>
    <row r="24" spans="1:3">
      <c r="A24" t="s">
        <v>405</v>
      </c>
      <c r="B24">
        <f>B18</f>
        <v>36.2</v>
      </c>
      <c r="C24">
        <f t="shared" si="0"/>
        <v>36.2</v>
      </c>
    </row>
    <row r="25" spans="1:3">
      <c r="A25" t="s">
        <v>406</v>
      </c>
      <c r="B25">
        <f>B18</f>
        <v>36.2</v>
      </c>
      <c r="C25">
        <f t="shared" si="0"/>
        <v>36.2</v>
      </c>
    </row>
    <row r="26" spans="1:3">
      <c r="A26" t="s">
        <v>253</v>
      </c>
      <c r="B26">
        <v>9</v>
      </c>
      <c r="C26">
        <f t="shared" si="0"/>
        <v>9</v>
      </c>
    </row>
    <row r="27" spans="1:3">
      <c r="A27" t="s">
        <v>407</v>
      </c>
      <c r="B27">
        <v>10.8</v>
      </c>
      <c r="C27">
        <f t="shared" si="0"/>
        <v>10.8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8"/>
  <sheetViews>
    <sheetView workbookViewId="0">
      <selection activeCell="E9" sqref="E9"/>
    </sheetView>
  </sheetViews>
  <sheetFormatPr defaultColWidth="8.88888888888889" defaultRowHeight="14.4"/>
  <cols>
    <col min="1" max="1" width="23.8888888888889" customWidth="1"/>
    <col min="4" max="4" width="9.77777777777778" customWidth="1"/>
    <col min="8" max="8" width="17.1111111111111" customWidth="1"/>
    <col min="10" max="10" width="52.8888888888889" customWidth="1"/>
  </cols>
  <sheetData>
    <row r="1" spans="1:10">
      <c r="A1" s="1" t="s">
        <v>105</v>
      </c>
      <c r="B1" t="s">
        <v>408</v>
      </c>
      <c r="C1" t="s">
        <v>409</v>
      </c>
      <c r="D1" t="s">
        <v>410</v>
      </c>
      <c r="E1" t="s">
        <v>411</v>
      </c>
      <c r="F1" t="s">
        <v>412</v>
      </c>
      <c r="G1" t="s">
        <v>413</v>
      </c>
      <c r="H1" t="s">
        <v>414</v>
      </c>
      <c r="I1" t="s">
        <v>415</v>
      </c>
      <c r="J1" t="s">
        <v>416</v>
      </c>
    </row>
    <row r="2" spans="1:10">
      <c r="A2" s="2" t="s">
        <v>38</v>
      </c>
      <c r="B2" t="s">
        <v>417</v>
      </c>
      <c r="C2" t="s">
        <v>417</v>
      </c>
      <c r="D2" t="s">
        <v>417</v>
      </c>
      <c r="E2" t="s">
        <v>417</v>
      </c>
      <c r="F2" t="s">
        <v>417</v>
      </c>
      <c r="G2" t="s">
        <v>417</v>
      </c>
      <c r="H2" t="s">
        <v>417</v>
      </c>
      <c r="I2" t="s">
        <v>417</v>
      </c>
      <c r="J2" t="s">
        <v>417</v>
      </c>
    </row>
    <row r="3" spans="1:10">
      <c r="A3" s="3" t="s">
        <v>129</v>
      </c>
      <c r="B3" t="s">
        <v>128</v>
      </c>
      <c r="C3">
        <v>0</v>
      </c>
      <c r="D3">
        <v>0</v>
      </c>
      <c r="E3">
        <v>0</v>
      </c>
      <c r="F3">
        <v>0</v>
      </c>
      <c r="G3" t="s">
        <v>418</v>
      </c>
      <c r="H3">
        <v>8</v>
      </c>
      <c r="I3">
        <v>1</v>
      </c>
      <c r="J3" t="s">
        <v>419</v>
      </c>
    </row>
    <row r="4" spans="1:10">
      <c r="A4" s="3" t="s">
        <v>130</v>
      </c>
      <c r="B4" t="s">
        <v>128</v>
      </c>
      <c r="C4">
        <v>0</v>
      </c>
      <c r="D4">
        <v>0</v>
      </c>
      <c r="E4">
        <v>0</v>
      </c>
      <c r="F4">
        <v>0</v>
      </c>
      <c r="G4" t="s">
        <v>420</v>
      </c>
      <c r="H4">
        <v>8</v>
      </c>
      <c r="I4">
        <v>1</v>
      </c>
      <c r="J4" t="s">
        <v>419</v>
      </c>
    </row>
    <row r="5" spans="1:10">
      <c r="A5" s="4" t="s">
        <v>64</v>
      </c>
    </row>
    <row r="6" spans="1:10">
      <c r="A6" s="3" t="s">
        <v>421</v>
      </c>
    </row>
    <row r="7" spans="1:10">
      <c r="A7" s="3" t="s">
        <v>133</v>
      </c>
      <c r="B7" t="s">
        <v>131</v>
      </c>
      <c r="C7">
        <v>0</v>
      </c>
      <c r="D7">
        <v>0</v>
      </c>
      <c r="E7">
        <v>0</v>
      </c>
      <c r="F7">
        <v>10</v>
      </c>
      <c r="G7" t="s">
        <v>417</v>
      </c>
      <c r="H7" t="s">
        <v>417</v>
      </c>
      <c r="I7" t="s">
        <v>417</v>
      </c>
      <c r="J7" t="s">
        <v>422</v>
      </c>
    </row>
    <row r="8" spans="1:10">
      <c r="A8" s="2"/>
    </row>
    <row r="9" spans="1:10">
      <c r="A9" s="2" t="s">
        <v>423</v>
      </c>
      <c r="C9">
        <f>25*0.037</f>
        <v>0.925</v>
      </c>
      <c r="D9">
        <f>25*0.037</f>
        <v>0.925</v>
      </c>
    </row>
    <row r="10" spans="1:10">
      <c r="A10" s="2" t="s">
        <v>424</v>
      </c>
    </row>
    <row r="11" spans="1:10">
      <c r="A11" s="3" t="s">
        <v>425</v>
      </c>
    </row>
    <row r="12" spans="1:10">
      <c r="A12" s="3" t="s">
        <v>426</v>
      </c>
    </row>
    <row r="13" spans="1:10">
      <c r="A13" s="3" t="s">
        <v>427</v>
      </c>
    </row>
    <row r="14" spans="1:10">
      <c r="A14" s="3" t="s">
        <v>428</v>
      </c>
    </row>
    <row r="15" spans="1:10">
      <c r="A15" s="3" t="s">
        <v>429</v>
      </c>
    </row>
    <row r="16" spans="1:10">
      <c r="A16" s="3" t="s">
        <v>430</v>
      </c>
    </row>
    <row r="17" spans="1:1">
      <c r="A17" s="3" t="s">
        <v>431</v>
      </c>
    </row>
    <row r="18" spans="1:1">
      <c r="A18" s="4" t="s">
        <v>432</v>
      </c>
    </row>
    <row r="19" spans="1:1">
      <c r="A19" s="4" t="s">
        <v>433</v>
      </c>
    </row>
    <row r="20" spans="1:1">
      <c r="A20" s="4" t="s">
        <v>434</v>
      </c>
    </row>
    <row r="21" spans="1:1">
      <c r="A21" s="2" t="s">
        <v>435</v>
      </c>
    </row>
    <row r="22" spans="1:1">
      <c r="A22" s="2" t="s">
        <v>436</v>
      </c>
    </row>
    <row r="23" spans="1:1">
      <c r="A23" s="2" t="s">
        <v>437</v>
      </c>
    </row>
    <row r="24" spans="1:1">
      <c r="A24" s="2"/>
    </row>
    <row r="25" spans="1:1">
      <c r="A25" s="2" t="s">
        <v>438</v>
      </c>
    </row>
    <row r="26" spans="1:1">
      <c r="A26" s="2" t="s">
        <v>439</v>
      </c>
    </row>
    <row r="27" spans="1:1">
      <c r="A27" s="2" t="s">
        <v>440</v>
      </c>
    </row>
    <row r="28" spans="1:1">
      <c r="A28" s="2" t="s">
        <v>441</v>
      </c>
    </row>
    <row r="29" spans="1:1">
      <c r="A29" s="2" t="s">
        <v>442</v>
      </c>
    </row>
    <row r="30" spans="1:1">
      <c r="A30" s="2" t="s">
        <v>443</v>
      </c>
    </row>
    <row r="31" spans="1:1">
      <c r="A31" s="2"/>
    </row>
    <row r="32" spans="1:1">
      <c r="A32" s="3" t="s">
        <v>444</v>
      </c>
    </row>
    <row r="33" spans="1:1">
      <c r="A33" s="3" t="s">
        <v>445</v>
      </c>
    </row>
    <row r="34" spans="1:1">
      <c r="A34" s="3" t="s">
        <v>446</v>
      </c>
    </row>
    <row r="35" spans="1:1">
      <c r="A35" s="3" t="s">
        <v>447</v>
      </c>
    </row>
    <row r="36" spans="1:1">
      <c r="A36" s="3" t="s">
        <v>448</v>
      </c>
    </row>
    <row r="37" spans="1:1">
      <c r="A37" s="3" t="s">
        <v>449</v>
      </c>
    </row>
    <row r="38" spans="1:1">
      <c r="A38" s="3" t="s">
        <v>450</v>
      </c>
    </row>
    <row r="39" spans="1:1">
      <c r="A39" s="2" t="s">
        <v>451</v>
      </c>
    </row>
    <row r="40" spans="1:1">
      <c r="A40" s="2" t="s">
        <v>452</v>
      </c>
    </row>
    <row r="41" spans="1:1">
      <c r="A41" s="2" t="s">
        <v>453</v>
      </c>
    </row>
    <row r="42" spans="1:1">
      <c r="A42" s="5"/>
    </row>
    <row r="43" spans="1:1">
      <c r="A43" s="5" t="s">
        <v>454</v>
      </c>
    </row>
    <row r="44" spans="1:1">
      <c r="A44" s="5" t="s">
        <v>455</v>
      </c>
    </row>
    <row r="45" spans="1:1">
      <c r="A45" s="5" t="s">
        <v>456</v>
      </c>
    </row>
    <row r="46" spans="1:1">
      <c r="A46" s="5" t="s">
        <v>457</v>
      </c>
    </row>
    <row r="47" spans="1:1">
      <c r="A47" s="5" t="s">
        <v>458</v>
      </c>
    </row>
    <row r="48" spans="1:1">
      <c r="A48" s="5" t="s">
        <v>459</v>
      </c>
    </row>
    <row r="49" spans="1:1">
      <c r="A49" s="5" t="s">
        <v>460</v>
      </c>
    </row>
    <row r="50" spans="1:1">
      <c r="A50" s="5" t="s">
        <v>461</v>
      </c>
    </row>
    <row r="51" spans="1:1">
      <c r="A51" s="5" t="s">
        <v>462</v>
      </c>
    </row>
    <row r="52" spans="1:1">
      <c r="A52" s="5" t="s">
        <v>463</v>
      </c>
    </row>
    <row r="53" spans="1:1">
      <c r="A53" s="5" t="s">
        <v>464</v>
      </c>
    </row>
    <row r="54" spans="1:1">
      <c r="A54" s="5" t="s">
        <v>465</v>
      </c>
    </row>
    <row r="55" spans="1:1">
      <c r="A55" s="5" t="s">
        <v>188</v>
      </c>
    </row>
    <row r="56" spans="1:1">
      <c r="A56" s="2"/>
    </row>
    <row r="57" spans="1:1">
      <c r="A57" s="2" t="s">
        <v>466</v>
      </c>
    </row>
    <row r="58" spans="1:1">
      <c r="A58" s="2" t="s">
        <v>467</v>
      </c>
    </row>
    <row r="59" spans="1:1">
      <c r="A59" s="2" t="s">
        <v>468</v>
      </c>
    </row>
    <row r="60" spans="1:1">
      <c r="A60" s="2" t="s">
        <v>469</v>
      </c>
    </row>
    <row r="61" spans="1:1">
      <c r="A61" s="2" t="s">
        <v>470</v>
      </c>
    </row>
    <row r="62" spans="1:1">
      <c r="A62" s="2" t="s">
        <v>471</v>
      </c>
    </row>
    <row r="63" spans="1:1">
      <c r="A63" s="2" t="s">
        <v>472</v>
      </c>
    </row>
    <row r="64" spans="1:1">
      <c r="A64" s="2" t="s">
        <v>473</v>
      </c>
    </row>
    <row r="65" spans="1:1">
      <c r="A65" s="2" t="s">
        <v>474</v>
      </c>
    </row>
    <row r="66" spans="1:1">
      <c r="A66" s="2" t="s">
        <v>475</v>
      </c>
    </row>
    <row r="67" spans="1:1">
      <c r="A67" s="2" t="s">
        <v>476</v>
      </c>
    </row>
    <row r="68" spans="1:1">
      <c r="A68" s="2" t="s">
        <v>477</v>
      </c>
    </row>
    <row r="69" spans="1:1">
      <c r="A69" s="2" t="s">
        <v>478</v>
      </c>
    </row>
    <row r="70" spans="1:1">
      <c r="A70" s="2" t="s">
        <v>204</v>
      </c>
    </row>
    <row r="71" spans="1:1">
      <c r="A71" s="2" t="s">
        <v>205</v>
      </c>
    </row>
    <row r="72" spans="1:1">
      <c r="A72" s="2" t="s">
        <v>206</v>
      </c>
    </row>
    <row r="73" spans="1:1">
      <c r="A73" s="2" t="s">
        <v>207</v>
      </c>
    </row>
    <row r="74" spans="1:1">
      <c r="A74" s="2"/>
    </row>
    <row r="75" spans="1:1">
      <c r="A75" s="2" t="s">
        <v>479</v>
      </c>
    </row>
    <row r="76" spans="1:1">
      <c r="A76" s="2" t="s">
        <v>480</v>
      </c>
    </row>
    <row r="77" spans="1:1">
      <c r="A77" s="2" t="s">
        <v>481</v>
      </c>
    </row>
    <row r="78" spans="1:1">
      <c r="A78" s="2" t="s">
        <v>482</v>
      </c>
    </row>
    <row r="79" spans="1:1">
      <c r="A79" s="2" t="s">
        <v>483</v>
      </c>
    </row>
    <row r="80" spans="1:1">
      <c r="A80" s="2" t="s">
        <v>484</v>
      </c>
    </row>
    <row r="81" spans="1:1">
      <c r="A81" s="2" t="s">
        <v>485</v>
      </c>
    </row>
    <row r="82" spans="1:1">
      <c r="A82" s="2" t="s">
        <v>486</v>
      </c>
    </row>
    <row r="83" spans="1:1">
      <c r="A83" s="2" t="s">
        <v>487</v>
      </c>
    </row>
    <row r="84" spans="1:1">
      <c r="A84" s="2" t="s">
        <v>488</v>
      </c>
    </row>
    <row r="85" spans="1:1">
      <c r="A85" s="2" t="s">
        <v>489</v>
      </c>
    </row>
    <row r="86" spans="1:1">
      <c r="A86" s="2"/>
    </row>
    <row r="87" spans="1:1">
      <c r="A87" s="2" t="s">
        <v>490</v>
      </c>
    </row>
    <row r="88" spans="1:1">
      <c r="A88" s="2" t="s">
        <v>491</v>
      </c>
    </row>
    <row r="89" spans="1:1">
      <c r="A89" s="2" t="s">
        <v>492</v>
      </c>
    </row>
    <row r="90" spans="1:1">
      <c r="A90" s="2" t="s">
        <v>493</v>
      </c>
    </row>
    <row r="91" spans="1:1">
      <c r="A91" s="2" t="s">
        <v>494</v>
      </c>
    </row>
    <row r="92" spans="1:1">
      <c r="A92" s="2" t="s">
        <v>224</v>
      </c>
    </row>
    <row r="93" spans="1:1">
      <c r="A93" s="2" t="s">
        <v>495</v>
      </c>
    </row>
    <row r="94" spans="1:1">
      <c r="A94" s="2" t="s">
        <v>496</v>
      </c>
    </row>
    <row r="96" spans="1:1">
      <c r="A96" s="6" t="s">
        <v>497</v>
      </c>
    </row>
    <row r="97" spans="1:1">
      <c r="A97" s="6" t="s">
        <v>498</v>
      </c>
    </row>
    <row r="98" spans="1:1">
      <c r="A98" s="6" t="s">
        <v>499</v>
      </c>
    </row>
    <row r="99" spans="1:1">
      <c r="A99" s="6" t="s">
        <v>500</v>
      </c>
    </row>
    <row r="100" spans="1:1">
      <c r="A100" s="6" t="s">
        <v>501</v>
      </c>
    </row>
    <row r="101" spans="1:1">
      <c r="A101" s="6" t="s">
        <v>502</v>
      </c>
    </row>
    <row r="102" spans="1:1">
      <c r="A102" s="6" t="s">
        <v>503</v>
      </c>
    </row>
    <row r="103" spans="1:1">
      <c r="A103" s="6" t="s">
        <v>504</v>
      </c>
    </row>
    <row r="104" spans="1:1">
      <c r="A104" s="6" t="s">
        <v>505</v>
      </c>
    </row>
    <row r="105" spans="1:1">
      <c r="A105" s="6" t="s">
        <v>506</v>
      </c>
    </row>
    <row r="106" spans="1:1">
      <c r="A106" s="6" t="s">
        <v>507</v>
      </c>
    </row>
    <row r="107" spans="1:1">
      <c r="A107" s="6" t="s">
        <v>508</v>
      </c>
    </row>
    <row r="108" spans="1:1">
      <c r="A108" s="6" t="s">
        <v>509</v>
      </c>
    </row>
    <row r="109" spans="1:1">
      <c r="A109" s="6" t="s">
        <v>510</v>
      </c>
    </row>
    <row r="110" spans="1:1">
      <c r="A110" s="6" t="s">
        <v>511</v>
      </c>
    </row>
    <row r="111" spans="1:1">
      <c r="A111" s="6" t="s">
        <v>512</v>
      </c>
    </row>
    <row r="112" spans="1:1">
      <c r="A112" s="6" t="s">
        <v>513</v>
      </c>
    </row>
    <row r="113" spans="1:1">
      <c r="A113" s="6" t="s">
        <v>514</v>
      </c>
    </row>
    <row r="114" spans="1:1">
      <c r="A114" s="6" t="s">
        <v>515</v>
      </c>
    </row>
    <row r="115" spans="1:1">
      <c r="A115" s="6" t="s">
        <v>516</v>
      </c>
    </row>
    <row r="116" spans="1:1">
      <c r="A116" s="6" t="s">
        <v>517</v>
      </c>
    </row>
    <row r="117" spans="1:1">
      <c r="A117" s="6" t="s">
        <v>518</v>
      </c>
    </row>
    <row r="118" spans="1:1">
      <c r="A118" s="6" t="s">
        <v>519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目标属性</vt:lpstr>
      <vt:lpstr>流派表</vt:lpstr>
      <vt:lpstr>武器奇术</vt:lpstr>
      <vt:lpstr>毕业面板</vt:lpstr>
      <vt:lpstr>轴</vt:lpstr>
      <vt:lpstr>加成</vt:lpstr>
      <vt:lpstr>套装</vt:lpstr>
      <vt:lpstr>满值词条</vt:lpstr>
      <vt:lpstr>技能奇术耗时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zhuzh</dc:creator>
  <cp:lastModifiedBy>名字什么的好难取</cp:lastModifiedBy>
  <dcterms:created xsi:type="dcterms:W3CDTF">2026-03-20T07:38:00Z</dcterms:created>
  <dcterms:modified xsi:type="dcterms:W3CDTF">2026-05-13T13:23:06Z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812F35F0EFD6461F9C6487363B65A8E2_11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
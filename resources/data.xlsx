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9868" windowHeight="13380" activeTab="3"/>
  </bookViews>
  <sheets>
    <sheet name="目标属性" sheetId="1" r:id="rId1"/>
    <sheet name="流派表" sheetId="2" r:id="rId2"/>
    <sheet name="武器奇术" sheetId="3" r:id="rId3"/>
    <sheet name="毕业面板" sheetId="4" r:id="rId4"/>
    <sheet name="轴" sheetId="5" r:id="rId5"/>
    <sheet name="加成" sheetId="6" r:id="rId6"/>
    <sheet name="套装" sheetId="7" r:id="rId7"/>
    <sheet name="满值词条" sheetId="8" r:id="rId8"/>
    <sheet name="技能奇术耗时" sheetId="9" r:id="rId9"/>
  </sheets>
  <definedNames>
    <definedName name="checkxinf">_xlfn.LAMBDA(_xlpm.心法名称,_xlpm.真值,_xlpm.假值,IF(COUNTIF(心法区,_xlpm.心法名称)&gt;0,_xlpm.真值,_xlpm.假值))</definedName>
    <definedName name="计算区技能对应轴表行">"ROW()-MATCH(面板区!$L$2,轴!A:A,0)-1"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<sst xmlns="http://schemas.openxmlformats.org/spreadsheetml/2006/main" count="6699" uniqueCount="521">
  <si>
    <t>目标名称</t>
  </si>
  <si>
    <t>外功防御</t>
  </si>
  <si>
    <t>通用增伤</t>
  </si>
  <si>
    <t>气竭增伤</t>
  </si>
  <si>
    <t>16无相皇</t>
  </si>
  <si>
    <t>51无相皇</t>
  </si>
  <si>
    <t>71赤霄惊梦·极</t>
  </si>
  <si>
    <t>81山河醉影</t>
  </si>
  <si>
    <t>86沉棺泊梦</t>
  </si>
  <si>
    <t>86笑引阎罗帖·极</t>
  </si>
  <si>
    <t>91碧血照黄沙·极</t>
  </si>
  <si>
    <t>91幽牙蛇影</t>
  </si>
  <si>
    <t>流派名称</t>
  </si>
  <si>
    <t>主属性</t>
  </si>
  <si>
    <t>隐藏本系属性攻击</t>
  </si>
  <si>
    <t>定音1</t>
  </si>
  <si>
    <t>定音2</t>
  </si>
  <si>
    <t>定音3</t>
  </si>
  <si>
    <t>固定心法</t>
  </si>
  <si>
    <t>可选心法1</t>
  </si>
  <si>
    <t>可选心法2</t>
  </si>
  <si>
    <t>可选心法3</t>
  </si>
  <si>
    <t>可选心法4</t>
  </si>
  <si>
    <t>可选心法5</t>
  </si>
  <si>
    <t>可选心法6</t>
  </si>
  <si>
    <t>可选心法7</t>
  </si>
  <si>
    <t>可选心法8</t>
  </si>
  <si>
    <t>可选心法9</t>
  </si>
  <si>
    <t>轴1</t>
  </si>
  <si>
    <t>轴2</t>
  </si>
  <si>
    <t>轴3</t>
  </si>
  <si>
    <t>武学增效1</t>
  </si>
  <si>
    <t>武学增效2</t>
  </si>
  <si>
    <t>武器1</t>
  </si>
  <si>
    <t>武器2</t>
  </si>
  <si>
    <t>鸣金虹</t>
  </si>
  <si>
    <t>鸣金</t>
  </si>
  <si>
    <t>剑蓄力增伤</t>
  </si>
  <si>
    <t>N/A</t>
  </si>
  <si>
    <t>无名心法</t>
  </si>
  <si>
    <t>易水歌</t>
  </si>
  <si>
    <t>威猛歌</t>
  </si>
  <si>
    <t>千山法</t>
  </si>
  <si>
    <t>断石之构</t>
  </si>
  <si>
    <t>征人归</t>
  </si>
  <si>
    <t>气涌轴</t>
  </si>
  <si>
    <t>剑武学增伤</t>
  </si>
  <si>
    <t>枪武学增伤</t>
  </si>
  <si>
    <t>剑</t>
  </si>
  <si>
    <t>枪</t>
  </si>
  <si>
    <t>鸣金影</t>
  </si>
  <si>
    <t>流血增伤</t>
  </si>
  <si>
    <t>剑气纵横</t>
  </si>
  <si>
    <t>逐狼心经</t>
  </si>
  <si>
    <t>凝神章</t>
  </si>
  <si>
    <t>所恨年年</t>
  </si>
  <si>
    <t>6血爆骑龙轴</t>
  </si>
  <si>
    <t>牵丝玉</t>
  </si>
  <si>
    <t>牵丝</t>
  </si>
  <si>
    <t>伞特殊增伤</t>
  </si>
  <si>
    <t>伞武学增伤</t>
  </si>
  <si>
    <t>花上月令</t>
  </si>
  <si>
    <t>纵地摘星</t>
  </si>
  <si>
    <t>极乐泣血</t>
  </si>
  <si>
    <t>6花火拳轴</t>
  </si>
  <si>
    <t>扇武学增伤</t>
  </si>
  <si>
    <t>伞</t>
  </si>
  <si>
    <t>扇</t>
  </si>
  <si>
    <t>裂石威</t>
  </si>
  <si>
    <t>裂石</t>
  </si>
  <si>
    <t>陌刀蓄力增伤</t>
  </si>
  <si>
    <t>山河绝韵</t>
  </si>
  <si>
    <t>移经易武</t>
  </si>
  <si>
    <t>抗造大法</t>
  </si>
  <si>
    <t>穿喉诀</t>
  </si>
  <si>
    <t>6山河竞速轴</t>
  </si>
  <si>
    <t>陌刀武学增伤</t>
  </si>
  <si>
    <t>陌刀</t>
  </si>
  <si>
    <t>裂石均</t>
  </si>
  <si>
    <t>横刀派生技增伤</t>
  </si>
  <si>
    <t>陌刀蓄力技增伤</t>
  </si>
  <si>
    <t>霜天白夜</t>
  </si>
  <si>
    <t>孤忠不辞</t>
  </si>
  <si>
    <t>双切轴</t>
  </si>
  <si>
    <t>横刀武学增伤</t>
  </si>
  <si>
    <t>横刀</t>
  </si>
  <si>
    <t>破竹风</t>
  </si>
  <si>
    <t>破竹</t>
  </si>
  <si>
    <t>鼠鼠增伤</t>
  </si>
  <si>
    <t>强效轻击增伤</t>
  </si>
  <si>
    <t>忘川绝响</t>
  </si>
  <si>
    <t>心弥泥鱼</t>
  </si>
  <si>
    <t>双红轴</t>
  </si>
  <si>
    <t>双刀武学增伤</t>
  </si>
  <si>
    <t>绳镖武学增伤</t>
  </si>
  <si>
    <t>双刀</t>
  </si>
  <si>
    <t>绳镖</t>
  </si>
  <si>
    <t>破竹尘</t>
  </si>
  <si>
    <t>千营一呼</t>
  </si>
  <si>
    <t>绳舟行木</t>
  </si>
  <si>
    <t>大唐歌</t>
  </si>
  <si>
    <t>双笛轴</t>
  </si>
  <si>
    <t>卡伞轴</t>
  </si>
  <si>
    <t>技能名</t>
  </si>
  <si>
    <t>倍率</t>
  </si>
  <si>
    <t>固伤</t>
  </si>
  <si>
    <t>属攻倍率</t>
  </si>
  <si>
    <t>属攻固伤</t>
  </si>
  <si>
    <t>额外最小外功加成</t>
  </si>
  <si>
    <t>额外最小外功</t>
  </si>
  <si>
    <t>额外最大外攻加成</t>
  </si>
  <si>
    <t>额外最大外攻</t>
  </si>
  <si>
    <t>额外会心率</t>
  </si>
  <si>
    <t>额外会心伤害</t>
  </si>
  <si>
    <t>额外会意率</t>
  </si>
  <si>
    <t>额外会意伤害</t>
  </si>
  <si>
    <t>补正</t>
  </si>
  <si>
    <t>额外增伤</t>
  </si>
  <si>
    <t>额外外功穿透</t>
  </si>
  <si>
    <t>蓄力技能</t>
  </si>
  <si>
    <t>类型1</t>
  </si>
  <si>
    <t>类型2</t>
  </si>
  <si>
    <t>属性</t>
  </si>
  <si>
    <t>特殊</t>
  </si>
  <si>
    <t>定音</t>
  </si>
  <si>
    <t>必定会心</t>
  </si>
  <si>
    <t>天工</t>
  </si>
  <si>
    <t>天工火每秒</t>
  </si>
  <si>
    <t>天工毒每秒</t>
  </si>
  <si>
    <t>心法</t>
  </si>
  <si>
    <t>极乐</t>
  </si>
  <si>
    <t>易水歌6重</t>
  </si>
  <si>
    <t>易水</t>
  </si>
  <si>
    <t>6重骑龙回马1段</t>
  </si>
  <si>
    <t>奇术</t>
  </si>
  <si>
    <t>单体控制</t>
  </si>
  <si>
    <t>6重骑龙回马2段</t>
  </si>
  <si>
    <t>6重骑龙回马打满</t>
  </si>
  <si>
    <t>6重神龙吐火一段</t>
  </si>
  <si>
    <t>单体爆发</t>
  </si>
  <si>
    <t>6重神龙吐火两段</t>
  </si>
  <si>
    <t>6重神龙吐火爆燃每跳</t>
  </si>
  <si>
    <t>持续</t>
  </si>
  <si>
    <t>6重太白醉月1-4</t>
  </si>
  <si>
    <t>6重太白醉月5</t>
  </si>
  <si>
    <t>6重太白醉月爆炸</t>
  </si>
  <si>
    <t>6重金蟾腾跃震退</t>
  </si>
  <si>
    <t>群体异常</t>
  </si>
  <si>
    <t>6重金蟾腾跃一段</t>
  </si>
  <si>
    <t>6重金蟾腾跃毒</t>
  </si>
  <si>
    <t>6重萧吟千浪AOE</t>
  </si>
  <si>
    <t>群体伤害</t>
  </si>
  <si>
    <t>6重萧吟千浪首轮流星</t>
  </si>
  <si>
    <t>6重箫吟千浪单次后续流星</t>
  </si>
  <si>
    <t>95陌枪特殊</t>
  </si>
  <si>
    <t>武器</t>
  </si>
  <si>
    <t>95陌刀R蓄2段</t>
  </si>
  <si>
    <t>95陌刀R蓄3段（2战意）</t>
  </si>
  <si>
    <t>95陌刀R蓄3段（1战意）</t>
  </si>
  <si>
    <t>95陌刀R蓄3段（无战意）</t>
  </si>
  <si>
    <t>95陌刀派生（2战意）</t>
  </si>
  <si>
    <t>95陌刀派生（1战意）</t>
  </si>
  <si>
    <t>95伞左蓄每秒</t>
  </si>
  <si>
    <t>伞蓄力增伤</t>
  </si>
  <si>
    <t>95伞Q</t>
  </si>
  <si>
    <t>95扇Q(近距离命中)</t>
  </si>
  <si>
    <t>95丢伞</t>
  </si>
  <si>
    <t>95不谢花</t>
  </si>
  <si>
    <t>95扇～</t>
  </si>
  <si>
    <t>95扇三连</t>
  </si>
  <si>
    <t>95扇五连</t>
  </si>
  <si>
    <t>95扇左蓄</t>
  </si>
  <si>
    <t>95伞重轻派生</t>
  </si>
  <si>
    <t>95双刀普攻1</t>
  </si>
  <si>
    <t>95双刀普攻2</t>
  </si>
  <si>
    <t>95双刀普攻3</t>
  </si>
  <si>
    <t>95双刀普攻4</t>
  </si>
  <si>
    <t>95双刀红人普攻1</t>
  </si>
  <si>
    <t>95双刀红人普攻2</t>
  </si>
  <si>
    <t>95双刀红人普攻3</t>
  </si>
  <si>
    <t>95双刀红人普攻4</t>
  </si>
  <si>
    <t>95双刀红人普攻5</t>
  </si>
  <si>
    <t>95双刀Q</t>
  </si>
  <si>
    <t>95鼠鼠泥鱼</t>
  </si>
  <si>
    <t>鼠鼠</t>
  </si>
  <si>
    <t>95绳镖Q</t>
  </si>
  <si>
    <t>鼠鼠结算</t>
  </si>
  <si>
    <t>结算</t>
  </si>
  <si>
    <t>95九剑Q</t>
  </si>
  <si>
    <t>95九剑Q纵横剑</t>
  </si>
  <si>
    <t>95九剑特殊技</t>
  </si>
  <si>
    <t>剑特殊增伤</t>
  </si>
  <si>
    <t>95九剑特殊技纵横剑</t>
  </si>
  <si>
    <t>95九剑R蓄3段</t>
  </si>
  <si>
    <t>95九枪Q1段</t>
  </si>
  <si>
    <t>95九枪Q打满</t>
  </si>
  <si>
    <t>95九枪特殊技</t>
  </si>
  <si>
    <t>95九枪特殊技一段</t>
  </si>
  <si>
    <t>95九枪特殊技二段</t>
  </si>
  <si>
    <t>95九枪R蓄打满</t>
  </si>
  <si>
    <t>95九枪R蓄刷新</t>
  </si>
  <si>
    <t>95九枪R蓄5层</t>
  </si>
  <si>
    <t>2层流血</t>
  </si>
  <si>
    <t>4层流血</t>
  </si>
  <si>
    <t>5层流血</t>
  </si>
  <si>
    <t>血爆</t>
  </si>
  <si>
    <t>95无名剑武学q1</t>
  </si>
  <si>
    <t>95无名剑武学q2</t>
  </si>
  <si>
    <t>95无名剑武学q3</t>
  </si>
  <si>
    <t>95无名剑蓄力1档</t>
  </si>
  <si>
    <t>95无名剑蓄力2档</t>
  </si>
  <si>
    <t>95无名剑蓄力多道剑气1</t>
  </si>
  <si>
    <t>95无名剑蓄力多道剑气2</t>
  </si>
  <si>
    <t>95无名剑蓄力多道剑气3</t>
  </si>
  <si>
    <t>95无名剑蓄力多道剑气</t>
  </si>
  <si>
    <t>95无名剑特殊技</t>
  </si>
  <si>
    <t>95无名枪武学技</t>
  </si>
  <si>
    <t>95尘绳镖Q</t>
  </si>
  <si>
    <t>95尘绳镖R123</t>
  </si>
  <si>
    <t>95尘绳镖R45</t>
  </si>
  <si>
    <t>95尘绳镖R67</t>
  </si>
  <si>
    <t>95尘绳镖特殊技</t>
  </si>
  <si>
    <t>尘伞结算</t>
  </si>
  <si>
    <t>95尘伞完美Q</t>
  </si>
  <si>
    <t>回旋伞</t>
  </si>
  <si>
    <t>95尘伞共鸣</t>
  </si>
  <si>
    <t>95均陌荡八荒</t>
  </si>
  <si>
    <t>95均陌荡八荒极</t>
  </si>
  <si>
    <t>95均陌蓄力二档下劈</t>
  </si>
  <si>
    <t>95均陌蓄力二档砸地</t>
  </si>
  <si>
    <t>95均陌蓄力三档下劈</t>
  </si>
  <si>
    <t>95均陌蓄力三档砸地</t>
  </si>
  <si>
    <t>95均陌快蓄三档下劈</t>
  </si>
  <si>
    <t>95均陌快蓄三档砸地</t>
  </si>
  <si>
    <t>95横刀武学技滑铲</t>
  </si>
  <si>
    <t>95横刀白刃杀将斩</t>
  </si>
  <si>
    <t>95横刀白刃杀将刺</t>
  </si>
  <si>
    <t>95横刀特殊技突进</t>
  </si>
  <si>
    <t>95横刀特殊技刀光1</t>
  </si>
  <si>
    <t>95横刀特殊技刀光2</t>
  </si>
  <si>
    <t>95横刀轻蓄</t>
  </si>
  <si>
    <t>95横刀轻击派生</t>
  </si>
  <si>
    <t>95横刀拨雪寻春</t>
  </si>
  <si>
    <t>95横刀拨雪寻春强化</t>
  </si>
  <si>
    <t>95横刀安西军</t>
  </si>
  <si>
    <t>95陌刀安西军下劈</t>
  </si>
  <si>
    <t>95陌刀安西军跳劈</t>
  </si>
  <si>
    <t>95陌刀安西军荡八荒</t>
  </si>
  <si>
    <t>95横刀易武技</t>
  </si>
  <si>
    <t>面板类型</t>
  </si>
  <si>
    <t>小外</t>
  </si>
  <si>
    <t>大外</t>
  </si>
  <si>
    <t>外功穿透</t>
  </si>
  <si>
    <t>小鸣金</t>
  </si>
  <si>
    <t>大鸣金</t>
  </si>
  <si>
    <t>鸣金穿透</t>
  </si>
  <si>
    <t>小裂石</t>
  </si>
  <si>
    <t>大裂石</t>
  </si>
  <si>
    <t>裂石穿透</t>
  </si>
  <si>
    <t>小牵丝</t>
  </si>
  <si>
    <t>大牵丝</t>
  </si>
  <si>
    <t>牵丝穿透</t>
  </si>
  <si>
    <t>小破竹</t>
  </si>
  <si>
    <t>大破竹</t>
  </si>
  <si>
    <t>破竹穿透</t>
  </si>
  <si>
    <t>精准率</t>
  </si>
  <si>
    <t>会心率</t>
  </si>
  <si>
    <t>会意率</t>
  </si>
  <si>
    <t>直接会心率</t>
  </si>
  <si>
    <t>直接会意率</t>
  </si>
  <si>
    <t>外功伤害加成</t>
  </si>
  <si>
    <t>会心伤害加成</t>
  </si>
  <si>
    <t>会意伤害加成</t>
  </si>
  <si>
    <t>属攻伤害加成</t>
  </si>
  <si>
    <t>全部武学增效</t>
  </si>
  <si>
    <t>首领增伤</t>
  </si>
  <si>
    <t>单体控制增伤</t>
  </si>
  <si>
    <t>单体爆发增伤</t>
  </si>
  <si>
    <t>群体伤害增伤</t>
  </si>
  <si>
    <t>群体异常增伤</t>
  </si>
  <si>
    <t>套装</t>
  </si>
  <si>
    <t>大外流</t>
  </si>
  <si>
    <t/>
  </si>
  <si>
    <t>飞隼</t>
  </si>
  <si>
    <t>小外流</t>
  </si>
  <si>
    <t>时雨（无盾）</t>
  </si>
  <si>
    <t>时雨</t>
  </si>
  <si>
    <t>燕归</t>
  </si>
  <si>
    <t>连星</t>
  </si>
  <si>
    <t>轴名称</t>
  </si>
  <si>
    <t>次数</t>
  </si>
  <si>
    <t>气竭</t>
  </si>
  <si>
    <t>易水层数</t>
  </si>
  <si>
    <t>崩解层数</t>
  </si>
  <si>
    <t>低真气</t>
  </si>
  <si>
    <t>加成1</t>
  </si>
  <si>
    <t>加成2</t>
  </si>
  <si>
    <t>加成3</t>
  </si>
  <si>
    <t>加成4</t>
  </si>
  <si>
    <t>加成5</t>
  </si>
  <si>
    <t>加成6</t>
  </si>
  <si>
    <t>加成7</t>
  </si>
  <si>
    <t>时长</t>
  </si>
  <si>
    <t>毕业秒伤</t>
  </si>
  <si>
    <t>连中</t>
  </si>
  <si>
    <t>风墙</t>
  </si>
  <si>
    <t>玉斗</t>
  </si>
  <si>
    <t>重烟</t>
  </si>
  <si>
    <t>烟柳重重</t>
  </si>
  <si>
    <t>纵地</t>
  </si>
  <si>
    <t>大纵地</t>
  </si>
  <si>
    <t>玉低真气追击天赋</t>
  </si>
  <si>
    <t>破阵</t>
  </si>
  <si>
    <t>穿喉1派生</t>
  </si>
  <si>
    <t>断岳</t>
  </si>
  <si>
    <t>穿喉1</t>
  </si>
  <si>
    <t>易伤</t>
  </si>
  <si>
    <t>穿喉2派生</t>
  </si>
  <si>
    <t>穿喉2</t>
  </si>
  <si>
    <t>穿喉3派生</t>
  </si>
  <si>
    <t>穿喉4派生</t>
  </si>
  <si>
    <t>穿喉5派生</t>
  </si>
  <si>
    <t>穿喉5</t>
  </si>
  <si>
    <t>穿喉4</t>
  </si>
  <si>
    <t>近战笛</t>
  </si>
  <si>
    <t>恶身</t>
  </si>
  <si>
    <t>燕归增伤</t>
  </si>
  <si>
    <t>轮回</t>
  </si>
  <si>
    <t>嗔炎</t>
  </si>
  <si>
    <t>滴水</t>
  </si>
  <si>
    <t>看破</t>
  </si>
  <si>
    <t>强效江流</t>
  </si>
  <si>
    <t>酒盅</t>
  </si>
  <si>
    <t>迷踪</t>
  </si>
  <si>
    <t>5惊神持续</t>
  </si>
  <si>
    <t>流血结算天赋</t>
  </si>
  <si>
    <t>威猛耐力增伤2%</t>
  </si>
  <si>
    <t>长风</t>
  </si>
  <si>
    <t>无低耐力会意伤害天赋</t>
  </si>
  <si>
    <t>远程笛</t>
  </si>
  <si>
    <t>威猛耐力增伤5%</t>
  </si>
  <si>
    <t>威猛耐力增伤10%</t>
  </si>
  <si>
    <t>非剑气低耐力会意伤害天赋</t>
  </si>
  <si>
    <t>低真气会意伤害天赋</t>
  </si>
  <si>
    <t>无名剑气气竭增伤</t>
  </si>
  <si>
    <t>尘镖绳木5</t>
  </si>
  <si>
    <t>连星2</t>
  </si>
  <si>
    <t>尘镖绳木10</t>
  </si>
  <si>
    <t>连星3</t>
  </si>
  <si>
    <t>失魂落魄</t>
  </si>
  <si>
    <t>尘镖绳木15</t>
  </si>
  <si>
    <t>连星5</t>
  </si>
  <si>
    <t>幻鸣2</t>
  </si>
  <si>
    <t>唐歌2</t>
  </si>
  <si>
    <t>幻鸣4</t>
  </si>
  <si>
    <t>唐歌4</t>
  </si>
  <si>
    <t>幻鸣5</t>
  </si>
  <si>
    <t>唐歌5</t>
  </si>
  <si>
    <t>芳歌</t>
  </si>
  <si>
    <t>连星5-15</t>
  </si>
  <si>
    <t>铁衣戍魂</t>
  </si>
  <si>
    <t>穿喉3</t>
  </si>
  <si>
    <t>胆寒</t>
  </si>
  <si>
    <t>惧刃</t>
  </si>
  <si>
    <t>开山</t>
  </si>
  <si>
    <t>纯唐轴</t>
  </si>
  <si>
    <t>加成名称</t>
  </si>
  <si>
    <t>条件</t>
  </si>
  <si>
    <t>通用区增伤</t>
  </si>
  <si>
    <t>额外外功加成</t>
  </si>
  <si>
    <t>额外会心伤害加成</t>
  </si>
  <si>
    <t>额外会意伤害加成</t>
  </si>
  <si>
    <t>额外直接会心率</t>
  </si>
  <si>
    <t>额外直接会意率</t>
  </si>
  <si>
    <t>无视外防</t>
  </si>
  <si>
    <t>额外外功伤害加成</t>
  </si>
  <si>
    <t>额外鸣金穿透</t>
  </si>
  <si>
    <t>额外破竹穿透</t>
  </si>
  <si>
    <t>额外裂石穿透</t>
  </si>
  <si>
    <t>额外牵丝穿透</t>
  </si>
  <si>
    <t>连中春飞尽</t>
  </si>
  <si>
    <t>惊春3</t>
  </si>
  <si>
    <t>惊春5</t>
  </si>
  <si>
    <t>苦果</t>
  </si>
  <si>
    <t>涌泉</t>
  </si>
  <si>
    <t>江流</t>
  </si>
  <si>
    <t>轻柳</t>
  </si>
  <si>
    <t>烟柳</t>
  </si>
  <si>
    <t>急风骤</t>
  </si>
  <si>
    <t>套装名</t>
  </si>
  <si>
    <t>低真气破竹伤害</t>
  </si>
  <si>
    <t>时雨(无盾)</t>
  </si>
  <si>
    <t>浣花</t>
  </si>
  <si>
    <t>岳山倾</t>
  </si>
  <si>
    <t>词条名称</t>
  </si>
  <si>
    <t>满值</t>
  </si>
  <si>
    <t>换算值</t>
  </si>
  <si>
    <t>劲</t>
  </si>
  <si>
    <t>敏</t>
  </si>
  <si>
    <t>势</t>
  </si>
  <si>
    <t>最小鸣金</t>
  </si>
  <si>
    <t>最大鸣金</t>
  </si>
  <si>
    <t>最小裂石</t>
  </si>
  <si>
    <t>最大裂石</t>
  </si>
  <si>
    <t>最小牵丝</t>
  </si>
  <si>
    <t>最大牵丝</t>
  </si>
  <si>
    <t>最小破竹</t>
  </si>
  <si>
    <t>最大破竹</t>
  </si>
  <si>
    <t>属攻穿透</t>
  </si>
  <si>
    <t>类型</t>
  </si>
  <si>
    <t>前摇(s)</t>
  </si>
  <si>
    <t>出伤点(s)</t>
  </si>
  <si>
    <t>后摇(s)</t>
  </si>
  <si>
    <t>CD</t>
  </si>
  <si>
    <t>附加buff</t>
  </si>
  <si>
    <t>附加buff时长（s）</t>
  </si>
  <si>
    <t>DOT间隔</t>
  </si>
  <si>
    <t>效果</t>
  </si>
  <si>
    <t>/</t>
  </si>
  <si>
    <t>天工火</t>
  </si>
  <si>
    <t>随任意攻击附加，每1s造成1次伤害，一共8次，可重复刷新</t>
  </si>
  <si>
    <t>天工毒</t>
  </si>
  <si>
    <t>极乐泣血刺伤</t>
  </si>
  <si>
    <t>易水歌满5重后随攻击触发，触发cd10s</t>
  </si>
  <si>
    <t>5重骑龙回马1段</t>
  </si>
  <si>
    <t>5重骑龙回马2段</t>
  </si>
  <si>
    <t>5重骑龙回马打满</t>
  </si>
  <si>
    <t>5重神龙吐火一段</t>
  </si>
  <si>
    <t>5重神龙吐火两段</t>
  </si>
  <si>
    <t>5重神龙吐火爆燃每跳</t>
  </si>
  <si>
    <t>5重太白醉月1-4</t>
  </si>
  <si>
    <t>5重太白醉月5</t>
  </si>
  <si>
    <t>5重太白醉月爆炸</t>
  </si>
  <si>
    <t>5重金蟾腾跃震退</t>
  </si>
  <si>
    <t>5重金蟾腾跃一段</t>
  </si>
  <si>
    <t>5重金蟾腾跃毒</t>
  </si>
  <si>
    <t>5重萧吟千浪AOE</t>
  </si>
  <si>
    <t>5重萧吟千浪首轮流星</t>
  </si>
  <si>
    <t>5重箫吟千浪单次后续流星</t>
  </si>
  <si>
    <t>90陌刀R蓄2段</t>
  </si>
  <si>
    <t>90陌刀R蓄3段（2战意）</t>
  </si>
  <si>
    <t>90陌刀R蓄3段（1战意）</t>
  </si>
  <si>
    <t>90陌刀R蓄3段（无战意）</t>
  </si>
  <si>
    <t>90陌刀派生（2战意）</t>
  </si>
  <si>
    <t>90陌刀派生（1战意）</t>
  </si>
  <si>
    <t>90伞左蓄每秒</t>
  </si>
  <si>
    <t>90伞Q</t>
  </si>
  <si>
    <t>90扇Q(近距离命中)</t>
  </si>
  <si>
    <t>90丢伞</t>
  </si>
  <si>
    <t>90不谢花</t>
  </si>
  <si>
    <t>90扇～</t>
  </si>
  <si>
    <t>90扇三连</t>
  </si>
  <si>
    <t>90扇五连</t>
  </si>
  <si>
    <t>90扇左蓄</t>
  </si>
  <si>
    <t>90伞重轻派生</t>
  </si>
  <si>
    <t>90双刀普攻1</t>
  </si>
  <si>
    <t>90双刀普攻2</t>
  </si>
  <si>
    <t>90双刀普攻3</t>
  </si>
  <si>
    <t>90双刀普攻4</t>
  </si>
  <si>
    <t>90双刀红人普攻1</t>
  </si>
  <si>
    <t>90双刀红人普攻2</t>
  </si>
  <si>
    <t>90双刀红人普攻3</t>
  </si>
  <si>
    <t>90双刀红人普攻4</t>
  </si>
  <si>
    <t>90双刀红人普攻5</t>
  </si>
  <si>
    <t>90双刀Q</t>
  </si>
  <si>
    <t>90鼠鼠泥鱼</t>
  </si>
  <si>
    <t>90绳镖Q</t>
  </si>
  <si>
    <t>90九剑Q</t>
  </si>
  <si>
    <t>90九剑Q纵横剑</t>
  </si>
  <si>
    <t>90九剑特殊技</t>
  </si>
  <si>
    <t>90九剑特殊技纵横剑</t>
  </si>
  <si>
    <t>90九剑R蓄3段</t>
  </si>
  <si>
    <t>90九枪Q1段</t>
  </si>
  <si>
    <t>90九枪Q打满</t>
  </si>
  <si>
    <t>90九枪特殊技</t>
  </si>
  <si>
    <t>86九枪特殊技一段</t>
  </si>
  <si>
    <t>87九枪特殊技二段</t>
  </si>
  <si>
    <t>90九枪R蓄打满</t>
  </si>
  <si>
    <t>90九枪R蓄刷新</t>
  </si>
  <si>
    <t>90九枪R蓄5层</t>
  </si>
  <si>
    <t>90无名剑武学q1</t>
  </si>
  <si>
    <t>90无名剑武学q2</t>
  </si>
  <si>
    <t>90无名剑武学q3</t>
  </si>
  <si>
    <t>90无名剑蓄力1档</t>
  </si>
  <si>
    <t>90无名剑蓄力2档</t>
  </si>
  <si>
    <t>90无名剑蓄力多道剑气1</t>
  </si>
  <si>
    <t>90无名剑蓄力多道剑气2</t>
  </si>
  <si>
    <t>90无名剑蓄力多道剑气3</t>
  </si>
  <si>
    <t>90无名剑蓄力多道剑气</t>
  </si>
  <si>
    <t>90无名剑特殊技</t>
  </si>
  <si>
    <t>90无名枪武学技</t>
  </si>
  <si>
    <t>90尘绳镖Q</t>
  </si>
  <si>
    <t>90尘绳镖R123</t>
  </si>
  <si>
    <t>90尘绳镖R45</t>
  </si>
  <si>
    <t>90尘绳镖R67</t>
  </si>
  <si>
    <t>90尘绳镖特殊技</t>
  </si>
  <si>
    <t>90尘伞完美Q</t>
  </si>
  <si>
    <t>90尘伞共鸣</t>
  </si>
  <si>
    <t>90均陌荡八荒</t>
  </si>
  <si>
    <t>90均陌荡八荒极</t>
  </si>
  <si>
    <t>90均陌蓄力二档下劈</t>
  </si>
  <si>
    <t>90均陌蓄力二档砸地</t>
  </si>
  <si>
    <t>90均陌蓄力三档下劈</t>
  </si>
  <si>
    <t>90均陌蓄力三档砸地</t>
  </si>
  <si>
    <t>90均陌快蓄三档下劈</t>
  </si>
  <si>
    <t>90均陌快蓄三档砸地</t>
  </si>
  <si>
    <t>90横刀武学技滑铲</t>
  </si>
  <si>
    <t>90横刀白刃杀将斩</t>
  </si>
  <si>
    <t>90横刀白刃杀将刺</t>
  </si>
  <si>
    <t>90横刀特殊技突进</t>
  </si>
  <si>
    <t>90横刀特殊技刀光1</t>
  </si>
  <si>
    <t>90横刀特殊技刀光2</t>
  </si>
  <si>
    <t>90横刀轻蓄</t>
  </si>
  <si>
    <t>90横刀轻击派生</t>
  </si>
  <si>
    <t>90横刀拨雪寻春</t>
  </si>
  <si>
    <t>90横刀拨雪寻春强化</t>
  </si>
  <si>
    <t>90横刀安西军</t>
  </si>
  <si>
    <t>90陌刀安西军下劈</t>
  </si>
  <si>
    <t>90陌刀安西军跳劈</t>
  </si>
  <si>
    <t>90陌刀安西军荡八荒</t>
  </si>
  <si>
    <t>90横刀易武技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</si>
</sst>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eetMetadata" Target="metadata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"/>
  <sheetViews>
    <sheetView workbookViewId="0">
      <selection activeCell="A1" sqref="A1"/>
    </sheetView>
  </sheetViews>
  <sheetFormatPr defaultColWidth="9" defaultRowHeight="15.6" outlineLevelCol="3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>
        <v>10</v>
      </c>
      <c r="C2">
        <v>15</v>
      </c>
      <c r="D2">
        <v>40</v>
      </c>
    </row>
    <row r="3" spans="1:4">
      <c r="A3" t="s">
        <v>5</v>
      </c>
      <c r="B3">
        <v>29</v>
      </c>
      <c r="C3">
        <v>15</v>
      </c>
      <c r="D3">
        <v>40</v>
      </c>
    </row>
    <row r="4" spans="1:4">
      <c r="A4" t="s">
        <v>6</v>
      </c>
      <c r="B4">
        <v>58</v>
      </c>
      <c r="C4">
        <v>15</v>
      </c>
      <c r="D4">
        <v>40</v>
      </c>
    </row>
    <row r="5" spans="1:4">
      <c r="A5" t="s">
        <v>7</v>
      </c>
      <c r="B5">
        <v>270</v>
      </c>
      <c r="C5">
        <v>15</v>
      </c>
      <c r="D5">
        <v>40</v>
      </c>
    </row>
    <row r="6" spans="1:4">
      <c r="A6" t="s">
        <v>8</v>
      </c>
      <c r="B6">
        <v>307</v>
      </c>
      <c r="C6">
        <v>15</v>
      </c>
      <c r="D6">
        <v>10</v>
      </c>
    </row>
    <row r="7" spans="1:4">
      <c r="A7" t="s">
        <v>9</v>
      </c>
      <c r="B7">
        <v>307</v>
      </c>
      <c r="C7">
        <v>15</v>
      </c>
      <c r="D7">
        <v>10</v>
      </c>
    </row>
    <row r="8" spans="1:4">
      <c r="A8" t="s">
        <v>10</v>
      </c>
      <c r="B8">
        <v>350</v>
      </c>
      <c r="C8">
        <v>15</v>
      </c>
      <c r="D8">
        <v>10</v>
      </c>
    </row>
    <row r="9" spans="1:4">
      <c r="A9" t="s">
        <v>11</v>
      </c>
      <c r="B9">
        <v>350</v>
      </c>
      <c r="C9">
        <v>15</v>
      </c>
      <c r="D9">
        <v>10</v>
      </c>
    </row>
  </sheetData>
  <pageMargins left="0.75" right="0.75" top="1" bottom="1" header="0.5" footer="0.5"/>
  <headerFooter/>
  <ignoredErrors>
    <ignoredError sqref="A1:D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8"/>
  <sheetViews>
    <sheetView workbookViewId="0">
      <selection activeCell="A1" sqref="A1"/>
    </sheetView>
  </sheetViews>
  <sheetFormatPr defaultColWidth="9" defaultRowHeight="15.6" outlineLevelRow="7"/>
  <sheetData>
    <row r="1" spans="1:23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>
      <c r="A2" t="s">
        <v>35</v>
      </c>
      <c r="B2" t="s">
        <v>36</v>
      </c>
      <c r="C2">
        <v>51.5</v>
      </c>
      <c r="D2" t="s">
        <v>37</v>
      </c>
      <c r="E2" t="s">
        <v>38</v>
      </c>
      <c r="F2" t="s">
        <v>38</v>
      </c>
      <c r="G2" t="s">
        <v>39</v>
      </c>
      <c r="H2" t="s">
        <v>40</v>
      </c>
      <c r="I2" t="s">
        <v>41</v>
      </c>
      <c r="J2" t="s">
        <v>42</v>
      </c>
      <c r="K2" t="s">
        <v>43</v>
      </c>
      <c r="L2" t="s">
        <v>44</v>
      </c>
      <c r="Q2" t="s">
        <v>45</v>
      </c>
      <c r="T2" t="s">
        <v>46</v>
      </c>
      <c r="U2" t="s">
        <v>47</v>
      </c>
      <c r="V2" t="s">
        <v>48</v>
      </c>
      <c r="W2" t="s">
        <v>49</v>
      </c>
    </row>
    <row r="3" spans="1:23">
      <c r="A3" t="s">
        <v>50</v>
      </c>
      <c r="B3" t="s">
        <v>36</v>
      </c>
      <c r="C3">
        <v>51.5</v>
      </c>
      <c r="D3" t="s">
        <v>51</v>
      </c>
      <c r="E3" t="s">
        <v>38</v>
      </c>
      <c r="F3" t="s">
        <v>38</v>
      </c>
      <c r="G3" t="s">
        <v>52</v>
      </c>
      <c r="H3" t="s">
        <v>40</v>
      </c>
      <c r="I3" t="s">
        <v>53</v>
      </c>
      <c r="J3" t="s">
        <v>54</v>
      </c>
      <c r="K3" t="s">
        <v>43</v>
      </c>
      <c r="L3" t="s">
        <v>44</v>
      </c>
      <c r="M3" t="s">
        <v>55</v>
      </c>
      <c r="Q3" t="s">
        <v>56</v>
      </c>
      <c r="T3" t="s">
        <v>46</v>
      </c>
      <c r="U3" t="s">
        <v>47</v>
      </c>
      <c r="V3" t="s">
        <v>48</v>
      </c>
      <c r="W3" t="s">
        <v>49</v>
      </c>
    </row>
    <row r="4" spans="1:23">
      <c r="A4" t="s">
        <v>57</v>
      </c>
      <c r="B4" t="s">
        <v>58</v>
      </c>
      <c r="C4">
        <v>51.5</v>
      </c>
      <c r="D4" t="s">
        <v>59</v>
      </c>
      <c r="E4" t="s">
        <v>60</v>
      </c>
      <c r="F4" t="s">
        <v>38</v>
      </c>
      <c r="G4" t="s">
        <v>61</v>
      </c>
      <c r="H4" t="s">
        <v>40</v>
      </c>
      <c r="I4" t="s">
        <v>62</v>
      </c>
      <c r="J4" t="s">
        <v>41</v>
      </c>
      <c r="K4" t="s">
        <v>43</v>
      </c>
      <c r="L4" t="s">
        <v>44</v>
      </c>
      <c r="M4" t="s">
        <v>55</v>
      </c>
      <c r="N4" t="s">
        <v>63</v>
      </c>
      <c r="Q4" t="s">
        <v>64</v>
      </c>
      <c r="T4" t="s">
        <v>60</v>
      </c>
      <c r="U4" t="s">
        <v>65</v>
      </c>
      <c r="V4" t="s">
        <v>66</v>
      </c>
      <c r="W4" t="s">
        <v>67</v>
      </c>
    </row>
    <row r="5" spans="1:23">
      <c r="A5" t="s">
        <v>68</v>
      </c>
      <c r="B5" t="s">
        <v>69</v>
      </c>
      <c r="C5">
        <v>51.5</v>
      </c>
      <c r="D5" t="s">
        <v>70</v>
      </c>
      <c r="E5" t="s">
        <v>38</v>
      </c>
      <c r="F5" t="s">
        <v>38</v>
      </c>
      <c r="G5" t="s">
        <v>71</v>
      </c>
      <c r="H5" t="s">
        <v>40</v>
      </c>
      <c r="I5" t="s">
        <v>41</v>
      </c>
      <c r="J5" t="s">
        <v>72</v>
      </c>
      <c r="K5" t="s">
        <v>43</v>
      </c>
      <c r="L5" t="s">
        <v>44</v>
      </c>
      <c r="M5" t="s">
        <v>73</v>
      </c>
      <c r="N5" t="s">
        <v>74</v>
      </c>
      <c r="Q5" t="s">
        <v>75</v>
      </c>
      <c r="T5" t="s">
        <v>76</v>
      </c>
      <c r="U5" t="s">
        <v>47</v>
      </c>
      <c r="V5" t="s">
        <v>77</v>
      </c>
      <c r="W5" t="s">
        <v>49</v>
      </c>
    </row>
    <row r="6" spans="1:23">
      <c r="A6" t="s">
        <v>78</v>
      </c>
      <c r="B6" t="s">
        <v>69</v>
      </c>
      <c r="C6">
        <v>51.5</v>
      </c>
      <c r="D6" t="s">
        <v>79</v>
      </c>
      <c r="E6" t="s">
        <v>80</v>
      </c>
      <c r="F6" t="s">
        <v>38</v>
      </c>
      <c r="G6" t="s">
        <v>81</v>
      </c>
      <c r="H6" t="s">
        <v>40</v>
      </c>
      <c r="I6" t="s">
        <v>74</v>
      </c>
      <c r="J6" t="s">
        <v>82</v>
      </c>
      <c r="K6" t="s">
        <v>63</v>
      </c>
      <c r="L6" t="s">
        <v>44</v>
      </c>
      <c r="M6" t="s">
        <v>55</v>
      </c>
      <c r="N6" t="s">
        <v>43</v>
      </c>
      <c r="O6" t="s">
        <v>41</v>
      </c>
      <c r="P6" t="s">
        <v>72</v>
      </c>
      <c r="Q6" t="s">
        <v>83</v>
      </c>
      <c r="T6" t="s">
        <v>84</v>
      </c>
      <c r="U6" t="s">
        <v>76</v>
      </c>
      <c r="V6" t="s">
        <v>85</v>
      </c>
      <c r="W6" t="s">
        <v>77</v>
      </c>
    </row>
    <row r="7" spans="1:23">
      <c r="A7" t="s">
        <v>86</v>
      </c>
      <c r="B7" t="s">
        <v>87</v>
      </c>
      <c r="C7">
        <v>51.5</v>
      </c>
      <c r="D7" t="s">
        <v>88</v>
      </c>
      <c r="E7" t="s">
        <v>89</v>
      </c>
      <c r="F7" t="s">
        <v>38</v>
      </c>
      <c r="G7" t="s">
        <v>90</v>
      </c>
      <c r="H7" t="s">
        <v>40</v>
      </c>
      <c r="I7" t="s">
        <v>91</v>
      </c>
      <c r="J7" t="s">
        <v>63</v>
      </c>
      <c r="K7" t="s">
        <v>43</v>
      </c>
      <c r="L7" t="s">
        <v>44</v>
      </c>
      <c r="M7" t="s">
        <v>55</v>
      </c>
      <c r="Q7" t="s">
        <v>92</v>
      </c>
      <c r="T7" t="s">
        <v>93</v>
      </c>
      <c r="U7" t="s">
        <v>94</v>
      </c>
      <c r="V7" t="s">
        <v>95</v>
      </c>
      <c r="W7" t="s">
        <v>96</v>
      </c>
    </row>
    <row r="8" spans="1:23">
      <c r="A8" t="s">
        <v>97</v>
      </c>
      <c r="B8" t="s">
        <v>87</v>
      </c>
      <c r="C8">
        <v>51.5</v>
      </c>
      <c r="D8" t="s">
        <v>60</v>
      </c>
      <c r="E8" t="s">
        <v>38</v>
      </c>
      <c r="F8" t="s">
        <v>38</v>
      </c>
      <c r="G8" t="s">
        <v>98</v>
      </c>
      <c r="H8" t="s">
        <v>40</v>
      </c>
      <c r="I8" t="s">
        <v>99</v>
      </c>
      <c r="J8" t="s">
        <v>100</v>
      </c>
      <c r="K8" t="s">
        <v>43</v>
      </c>
      <c r="L8" t="s">
        <v>55</v>
      </c>
      <c r="M8" t="s">
        <v>44</v>
      </c>
      <c r="Q8" t="s">
        <v>101</v>
      </c>
      <c r="R8" t="s">
        <v>102</v>
      </c>
      <c r="T8" t="s">
        <v>60</v>
      </c>
      <c r="U8" t="s">
        <v>94</v>
      </c>
      <c r="V8" t="s">
        <v>66</v>
      </c>
      <c r="W8" t="s">
        <v>96</v>
      </c>
    </row>
  </sheetData>
  <pageMargins left="0.75" right="0.75" top="1" bottom="1" header="0.5" footer="0.5"/>
  <headerFooter/>
  <ignoredErrors>
    <ignoredError sqref="A1:W8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8"/>
  <sheetViews>
    <sheetView workbookViewId="0">
      <selection activeCell="A1" sqref="A1"/>
    </sheetView>
  </sheetViews>
  <sheetFormatPr defaultColWidth="9" defaultRowHeight="15.6"/>
  <sheetData>
    <row r="1" spans="1:23">
      <c r="A1" t="s">
        <v>103</v>
      </c>
      <c r="B1" t="s">
        <v>104</v>
      </c>
      <c r="C1" t="s">
        <v>105</v>
      </c>
      <c r="D1" t="s">
        <v>106</v>
      </c>
      <c r="E1" t="s">
        <v>107</v>
      </c>
      <c r="F1" t="s">
        <v>108</v>
      </c>
      <c r="G1" t="s">
        <v>109</v>
      </c>
      <c r="H1" t="s">
        <v>110</v>
      </c>
      <c r="I1" t="s">
        <v>111</v>
      </c>
      <c r="J1" t="s">
        <v>112</v>
      </c>
      <c r="K1" t="s">
        <v>113</v>
      </c>
      <c r="L1" t="s">
        <v>114</v>
      </c>
      <c r="M1" t="s">
        <v>115</v>
      </c>
      <c r="N1" t="s">
        <v>116</v>
      </c>
      <c r="O1" t="s">
        <v>117</v>
      </c>
      <c r="P1" t="s">
        <v>118</v>
      </c>
      <c r="Q1" t="s">
        <v>119</v>
      </c>
      <c r="R1" t="s">
        <v>120</v>
      </c>
      <c r="S1" t="s">
        <v>121</v>
      </c>
      <c r="T1" t="s">
        <v>122</v>
      </c>
      <c r="U1" t="s">
        <v>123</v>
      </c>
      <c r="V1" t="s">
        <v>124</v>
      </c>
      <c r="W1" t="s">
        <v>125</v>
      </c>
    </row>
    <row r="2" spans="1:23">
      <c r="A2" t="s">
        <v>38</v>
      </c>
      <c r="B2">
        <v>0</v>
      </c>
      <c r="C2">
        <v>0</v>
      </c>
      <c r="D2">
        <v>0</v>
      </c>
      <c r="E2">
        <v>0</v>
      </c>
      <c r="N2">
        <v>1</v>
      </c>
      <c r="Q2">
        <v>0</v>
      </c>
      <c r="R2" t="s">
        <v>126</v>
      </c>
      <c r="S2" t="s">
        <v>38</v>
      </c>
      <c r="T2" t="s">
        <v>13</v>
      </c>
    </row>
    <row r="3" spans="1:23">
      <c r="A3" t="s">
        <v>127</v>
      </c>
      <c r="B3">
        <v>0.262</v>
      </c>
      <c r="N3">
        <v>1</v>
      </c>
      <c r="Q3">
        <v>0</v>
      </c>
      <c r="R3" t="s">
        <v>126</v>
      </c>
      <c r="S3" t="s">
        <v>38</v>
      </c>
      <c r="T3" t="s">
        <v>13</v>
      </c>
      <c r="U3" t="s">
        <v>126</v>
      </c>
    </row>
    <row r="4" spans="1:23">
      <c r="A4" t="s">
        <v>128</v>
      </c>
      <c r="B4">
        <v>0.161</v>
      </c>
      <c r="N4">
        <v>1</v>
      </c>
      <c r="Q4">
        <v>0</v>
      </c>
      <c r="R4" t="s">
        <v>126</v>
      </c>
      <c r="S4" t="s">
        <v>38</v>
      </c>
      <c r="T4" t="s">
        <v>13</v>
      </c>
      <c r="U4" t="s">
        <v>126</v>
      </c>
    </row>
    <row r="5" spans="1:23">
      <c r="A5" t="s">
        <v>63</v>
      </c>
      <c r="B5">
        <v>2</v>
      </c>
      <c r="N5">
        <v>1</v>
      </c>
      <c r="Q5">
        <v>0</v>
      </c>
      <c r="R5" t="s">
        <v>129</v>
      </c>
      <c r="S5" t="s">
        <v>38</v>
      </c>
      <c r="T5" t="s">
        <v>13</v>
      </c>
      <c r="U5" t="s">
        <v>130</v>
      </c>
    </row>
    <row r="6" spans="1:23">
      <c r="A6" t="s">
        <v>131</v>
      </c>
      <c r="B6">
        <v>1</v>
      </c>
      <c r="N6">
        <v>1</v>
      </c>
      <c r="Q6">
        <v>0</v>
      </c>
      <c r="R6" t="s">
        <v>129</v>
      </c>
      <c r="S6" t="s">
        <v>38</v>
      </c>
      <c r="T6" t="s">
        <v>13</v>
      </c>
      <c r="U6" t="s">
        <v>132</v>
      </c>
    </row>
    <row r="7" spans="1:23">
      <c r="N7">
        <v>1</v>
      </c>
    </row>
    <row r="8" spans="1:23">
      <c r="A8" t="s">
        <v>133</v>
      </c>
      <c r="B8">
        <v>3.1951</v>
      </c>
      <c r="C8">
        <v>432</v>
      </c>
      <c r="D8">
        <v>4.79265</v>
      </c>
      <c r="L8">
        <v>0</v>
      </c>
      <c r="M8">
        <v>0</v>
      </c>
      <c r="N8">
        <v>1</v>
      </c>
      <c r="R8" t="s">
        <v>134</v>
      </c>
      <c r="S8" t="s">
        <v>135</v>
      </c>
      <c r="T8" t="s">
        <v>13</v>
      </c>
    </row>
    <row r="9" spans="1:23">
      <c r="A9" t="s">
        <v>136</v>
      </c>
      <c r="B9">
        <v>3.9051</v>
      </c>
      <c r="C9">
        <v>528</v>
      </c>
      <c r="D9">
        <v>5.85765</v>
      </c>
      <c r="L9">
        <v>0</v>
      </c>
      <c r="M9">
        <v>0</v>
      </c>
      <c r="N9">
        <v>1</v>
      </c>
      <c r="R9" t="s">
        <v>134</v>
      </c>
      <c r="S9" t="s">
        <v>135</v>
      </c>
      <c r="T9" t="s">
        <v>13</v>
      </c>
    </row>
    <row r="10" spans="1:23">
      <c r="A10" t="s">
        <v>137</v>
      </c>
      <c r="B10">
        <v>7.1002</v>
      </c>
      <c r="C10">
        <v>960</v>
      </c>
      <c r="D10">
        <v>10.6503</v>
      </c>
      <c r="L10">
        <v>0</v>
      </c>
      <c r="M10">
        <v>0</v>
      </c>
      <c r="N10">
        <v>1</v>
      </c>
      <c r="R10" t="s">
        <v>134</v>
      </c>
      <c r="S10" t="s">
        <v>135</v>
      </c>
      <c r="T10" t="s">
        <v>13</v>
      </c>
    </row>
    <row r="11" spans="1:23">
      <c r="A11" t="s">
        <v>138</v>
      </c>
      <c r="B11">
        <v>0.90673</v>
      </c>
      <c r="C11">
        <v>122.33</v>
      </c>
      <c r="D11">
        <v>1.360095</v>
      </c>
      <c r="L11">
        <v>0</v>
      </c>
      <c r="M11">
        <v>0</v>
      </c>
      <c r="N11">
        <v>1</v>
      </c>
      <c r="R11" t="s">
        <v>134</v>
      </c>
      <c r="S11" t="s">
        <v>139</v>
      </c>
      <c r="T11" t="s">
        <v>13</v>
      </c>
    </row>
    <row r="12" spans="1:23">
      <c r="A12" t="s">
        <v>140</v>
      </c>
      <c r="B12">
        <v>1.81346</v>
      </c>
      <c r="C12">
        <v>244.67</v>
      </c>
      <c r="D12">
        <v>2.72019</v>
      </c>
      <c r="L12">
        <v>0</v>
      </c>
      <c r="M12">
        <v>0</v>
      </c>
      <c r="N12">
        <v>1</v>
      </c>
      <c r="R12" t="s">
        <v>134</v>
      </c>
      <c r="S12" t="s">
        <v>139</v>
      </c>
      <c r="T12" t="s">
        <v>13</v>
      </c>
    </row>
    <row r="13" spans="1:23">
      <c r="A13" t="s">
        <v>141</v>
      </c>
      <c r="B13">
        <v>0.2953</v>
      </c>
      <c r="C13">
        <v>39</v>
      </c>
      <c r="D13">
        <v>0.2953</v>
      </c>
      <c r="L13">
        <v>0</v>
      </c>
      <c r="M13">
        <v>0</v>
      </c>
      <c r="N13">
        <v>1</v>
      </c>
      <c r="R13" t="s">
        <v>134</v>
      </c>
      <c r="S13" t="s">
        <v>139</v>
      </c>
      <c r="T13" t="s">
        <v>13</v>
      </c>
      <c r="U13" t="s">
        <v>142</v>
      </c>
    </row>
    <row r="14" spans="1:23">
      <c r="A14" t="s">
        <v>143</v>
      </c>
      <c r="B14">
        <v>1.023</v>
      </c>
      <c r="C14">
        <v>138</v>
      </c>
      <c r="D14">
        <v>1.5345</v>
      </c>
      <c r="L14">
        <v>0</v>
      </c>
      <c r="M14">
        <v>0</v>
      </c>
      <c r="N14">
        <v>1</v>
      </c>
      <c r="R14" t="s">
        <v>134</v>
      </c>
      <c r="S14" t="s">
        <v>139</v>
      </c>
      <c r="T14" t="s">
        <v>13</v>
      </c>
    </row>
    <row r="15" spans="1:23">
      <c r="A15" t="s">
        <v>144</v>
      </c>
      <c r="B15">
        <v>1.705</v>
      </c>
      <c r="C15">
        <v>230</v>
      </c>
      <c r="D15">
        <v>2.5575</v>
      </c>
      <c r="L15">
        <v>0</v>
      </c>
      <c r="M15">
        <v>0</v>
      </c>
      <c r="N15">
        <v>1</v>
      </c>
      <c r="O15">
        <v>0.8</v>
      </c>
      <c r="R15" t="s">
        <v>134</v>
      </c>
      <c r="S15" t="s">
        <v>139</v>
      </c>
      <c r="T15" t="s">
        <v>13</v>
      </c>
    </row>
    <row r="16" spans="1:23">
      <c r="A16" t="s">
        <v>145</v>
      </c>
      <c r="B16">
        <v>0.7015</v>
      </c>
      <c r="C16">
        <v>94</v>
      </c>
      <c r="D16">
        <v>0.7015</v>
      </c>
      <c r="L16">
        <v>0</v>
      </c>
      <c r="M16">
        <v>0</v>
      </c>
      <c r="N16">
        <v>1</v>
      </c>
      <c r="O16">
        <v>0</v>
      </c>
      <c r="R16" t="s">
        <v>134</v>
      </c>
      <c r="S16" t="s">
        <v>139</v>
      </c>
      <c r="T16" t="s">
        <v>13</v>
      </c>
    </row>
    <row r="17" spans="1:22">
      <c r="A17" t="s">
        <v>146</v>
      </c>
      <c r="B17">
        <v>0.5405</v>
      </c>
      <c r="C17">
        <v>73</v>
      </c>
      <c r="D17">
        <v>0.81075</v>
      </c>
      <c r="L17">
        <v>0</v>
      </c>
      <c r="M17">
        <v>0</v>
      </c>
      <c r="N17">
        <v>1</v>
      </c>
      <c r="R17" t="s">
        <v>134</v>
      </c>
      <c r="S17" t="s">
        <v>147</v>
      </c>
      <c r="T17" t="s">
        <v>13</v>
      </c>
    </row>
    <row r="18" spans="1:22">
      <c r="A18" t="s">
        <v>148</v>
      </c>
      <c r="B18">
        <v>3.2432</v>
      </c>
      <c r="C18">
        <v>438</v>
      </c>
      <c r="D18">
        <v>4.8648</v>
      </c>
      <c r="L18">
        <v>0</v>
      </c>
      <c r="M18">
        <v>0</v>
      </c>
      <c r="N18">
        <v>1</v>
      </c>
      <c r="R18" t="s">
        <v>134</v>
      </c>
      <c r="S18" t="s">
        <v>147</v>
      </c>
      <c r="T18" t="s">
        <v>13</v>
      </c>
    </row>
    <row r="19" spans="1:22">
      <c r="A19" t="s">
        <v>149</v>
      </c>
      <c r="B19">
        <v>1.6216</v>
      </c>
      <c r="C19">
        <v>219</v>
      </c>
      <c r="D19">
        <v>1.6216</v>
      </c>
      <c r="L19">
        <v>0</v>
      </c>
      <c r="M19">
        <v>0</v>
      </c>
      <c r="N19">
        <v>1</v>
      </c>
      <c r="O19">
        <v>0</v>
      </c>
      <c r="R19" t="s">
        <v>134</v>
      </c>
      <c r="S19" t="s">
        <v>147</v>
      </c>
      <c r="T19" t="s">
        <v>13</v>
      </c>
    </row>
    <row r="20" spans="1:22">
      <c r="A20" t="s">
        <v>150</v>
      </c>
      <c r="B20">
        <v>3.897</v>
      </c>
      <c r="C20">
        <v>800</v>
      </c>
      <c r="D20">
        <v>5.8455</v>
      </c>
      <c r="N20">
        <v>1</v>
      </c>
      <c r="R20" t="s">
        <v>134</v>
      </c>
      <c r="S20" t="s">
        <v>151</v>
      </c>
      <c r="T20" t="s">
        <v>13</v>
      </c>
    </row>
    <row r="21" spans="1:22">
      <c r="A21" t="s">
        <v>152</v>
      </c>
      <c r="B21">
        <v>1.4614</v>
      </c>
      <c r="C21">
        <v>300</v>
      </c>
      <c r="D21">
        <v>2.1921</v>
      </c>
      <c r="N21">
        <v>1</v>
      </c>
      <c r="R21" t="s">
        <v>134</v>
      </c>
      <c r="S21" t="s">
        <v>151</v>
      </c>
      <c r="T21" t="s">
        <v>13</v>
      </c>
    </row>
    <row r="22" spans="1:22">
      <c r="A22" t="s">
        <v>153</v>
      </c>
      <c r="B22">
        <v>1.4614</v>
      </c>
      <c r="C22">
        <v>300</v>
      </c>
      <c r="D22">
        <v>2.1921</v>
      </c>
      <c r="N22">
        <v>1</v>
      </c>
      <c r="R22" t="s">
        <v>134</v>
      </c>
      <c r="S22" t="s">
        <v>151</v>
      </c>
      <c r="T22" t="s">
        <v>13</v>
      </c>
    </row>
    <row r="23" spans="1:22">
      <c r="N23">
        <v>1</v>
      </c>
    </row>
    <row r="24" spans="1:22">
      <c r="A24" t="s">
        <v>154</v>
      </c>
      <c r="B24">
        <v>0.3227</v>
      </c>
      <c r="C24">
        <v>74</v>
      </c>
      <c r="D24">
        <v>0.4841</v>
      </c>
      <c r="E24">
        <v>41</v>
      </c>
      <c r="N24">
        <v>1</v>
      </c>
      <c r="R24" t="s">
        <v>155</v>
      </c>
      <c r="S24" t="s">
        <v>49</v>
      </c>
      <c r="T24" t="s">
        <v>69</v>
      </c>
    </row>
    <row r="25" spans="1:22">
      <c r="A25" t="s">
        <v>156</v>
      </c>
      <c r="B25">
        <v>3.8964</v>
      </c>
      <c r="C25">
        <v>900</v>
      </c>
      <c r="D25">
        <v>5.8446</v>
      </c>
      <c r="E25">
        <v>503</v>
      </c>
      <c r="I25">
        <v>60</v>
      </c>
      <c r="J25">
        <v>0.24</v>
      </c>
      <c r="K25" t="e" cm="1">
        <f t="array" ref="K25">IF(COUNTIF(心法区,"移经易武")&gt;0,20%,0)+10%</f>
        <v>#NAME?</v>
      </c>
      <c r="N25">
        <v>1</v>
      </c>
      <c r="Q25">
        <v>1</v>
      </c>
      <c r="R25" t="s">
        <v>155</v>
      </c>
      <c r="S25" t="s">
        <v>77</v>
      </c>
      <c r="T25" t="s">
        <v>69</v>
      </c>
      <c r="V25" t="s">
        <v>70</v>
      </c>
    </row>
    <row r="26" spans="1:22">
      <c r="A26" t="s">
        <v>157</v>
      </c>
      <c r="B26">
        <v>7.2362</v>
      </c>
      <c r="C26">
        <v>1671</v>
      </c>
      <c r="D26">
        <v>10.8543</v>
      </c>
      <c r="E26">
        <v>934</v>
      </c>
      <c r="I26">
        <v>60</v>
      </c>
      <c r="J26">
        <v>0.24</v>
      </c>
      <c r="K26" t="e" cm="1">
        <f t="array" ref="K26">IF(COUNTIF(心法区,"移经易武")&gt;0,20%,0)+10%</f>
        <v>#NAME?</v>
      </c>
      <c r="N26">
        <v>1</v>
      </c>
      <c r="O26">
        <v>0</v>
      </c>
      <c r="Q26">
        <v>1</v>
      </c>
      <c r="R26" t="s">
        <v>155</v>
      </c>
      <c r="S26" t="s">
        <v>77</v>
      </c>
      <c r="T26" t="s">
        <v>69</v>
      </c>
      <c r="V26" t="s">
        <v>70</v>
      </c>
    </row>
    <row r="27" spans="1:22">
      <c r="A27" t="s">
        <v>158</v>
      </c>
      <c r="B27">
        <v>5.789</v>
      </c>
      <c r="C27">
        <v>1337</v>
      </c>
      <c r="D27">
        <v>8.6834</v>
      </c>
      <c r="E27">
        <v>747</v>
      </c>
      <c r="I27">
        <v>60</v>
      </c>
      <c r="J27">
        <v>0.24</v>
      </c>
      <c r="K27" t="e" cm="1">
        <f t="array" ref="K27">IF(COUNTIF(心法区,"移经易武")&gt;0,20%,0)+10%</f>
        <v>#NAME?</v>
      </c>
      <c r="N27">
        <v>1</v>
      </c>
      <c r="O27">
        <v>0</v>
      </c>
      <c r="Q27">
        <v>1</v>
      </c>
      <c r="R27" t="s">
        <v>155</v>
      </c>
      <c r="S27" t="s">
        <v>77</v>
      </c>
      <c r="T27" t="s">
        <v>69</v>
      </c>
      <c r="V27" t="s">
        <v>70</v>
      </c>
    </row>
    <row r="28" spans="1:22">
      <c r="A28" t="s">
        <v>159</v>
      </c>
      <c r="B28">
        <v>4.8243</v>
      </c>
      <c r="C28">
        <v>1114</v>
      </c>
      <c r="D28">
        <v>7.2365</v>
      </c>
      <c r="E28">
        <v>623</v>
      </c>
      <c r="I28">
        <v>60</v>
      </c>
      <c r="J28">
        <v>0.24</v>
      </c>
      <c r="K28" t="e" cm="1">
        <f t="array" ref="K28">IF(COUNTIF(心法区,"移经易武")&gt;0,20%,0)+10%</f>
        <v>#NAME?</v>
      </c>
      <c r="N28">
        <v>1</v>
      </c>
      <c r="O28">
        <v>0</v>
      </c>
      <c r="Q28">
        <v>1</v>
      </c>
      <c r="R28" t="s">
        <v>155</v>
      </c>
      <c r="S28" t="s">
        <v>77</v>
      </c>
      <c r="T28" t="s">
        <v>69</v>
      </c>
      <c r="V28" t="s">
        <v>70</v>
      </c>
    </row>
    <row r="29" spans="1:22">
      <c r="A29" t="s">
        <v>160</v>
      </c>
      <c r="B29">
        <v>3.2921</v>
      </c>
      <c r="C29">
        <v>799</v>
      </c>
      <c r="D29">
        <v>4.938</v>
      </c>
      <c r="E29">
        <v>442</v>
      </c>
      <c r="I29">
        <v>60</v>
      </c>
      <c r="J29">
        <v>0.24</v>
      </c>
      <c r="K29" t="e" cm="1">
        <f t="array" ref="K29">IF(COUNTIF(心法区,"移经易武")&gt;0,20%,0)+10%</f>
        <v>#NAME?</v>
      </c>
      <c r="N29">
        <v>1</v>
      </c>
      <c r="Q29">
        <v>1</v>
      </c>
      <c r="R29" t="s">
        <v>155</v>
      </c>
      <c r="S29" t="s">
        <v>77</v>
      </c>
      <c r="T29" t="s">
        <v>69</v>
      </c>
      <c r="V29" t="s">
        <v>70</v>
      </c>
    </row>
    <row r="30" spans="1:22">
      <c r="A30" t="s">
        <v>161</v>
      </c>
      <c r="B30">
        <v>2.634</v>
      </c>
      <c r="C30">
        <v>639</v>
      </c>
      <c r="D30">
        <v>3.9404</v>
      </c>
      <c r="E30">
        <v>552</v>
      </c>
      <c r="I30">
        <v>60</v>
      </c>
      <c r="J30">
        <v>0.24</v>
      </c>
      <c r="K30" t="e" cm="1">
        <f t="array" ref="K30">IF(COUNTIF(心法区,"移经易武")&gt;0,20%,0)+10%</f>
        <v>#NAME?</v>
      </c>
      <c r="N30">
        <v>1</v>
      </c>
      <c r="Q30">
        <v>1</v>
      </c>
      <c r="R30" t="s">
        <v>155</v>
      </c>
      <c r="S30" t="s">
        <v>77</v>
      </c>
      <c r="T30" t="s">
        <v>69</v>
      </c>
      <c r="V30" t="s">
        <v>70</v>
      </c>
    </row>
    <row r="31" spans="1:22">
      <c r="N31">
        <v>1</v>
      </c>
    </row>
    <row r="32" spans="1:22">
      <c r="A32" t="s">
        <v>162</v>
      </c>
      <c r="B32">
        <v>1.7173</v>
      </c>
      <c r="C32">
        <v>396</v>
      </c>
      <c r="D32">
        <v>2.576</v>
      </c>
      <c r="E32">
        <v>221</v>
      </c>
      <c r="K32">
        <v>0.36</v>
      </c>
      <c r="N32">
        <v>1</v>
      </c>
      <c r="Q32">
        <v>1</v>
      </c>
      <c r="R32" t="s">
        <v>155</v>
      </c>
      <c r="S32" t="s">
        <v>66</v>
      </c>
      <c r="T32" t="s">
        <v>58</v>
      </c>
      <c r="V32" t="s">
        <v>163</v>
      </c>
    </row>
    <row r="33" spans="1:22">
      <c r="A33" t="s">
        <v>164</v>
      </c>
      <c r="B33">
        <v>2.3389</v>
      </c>
      <c r="C33">
        <v>541</v>
      </c>
      <c r="D33">
        <v>3.5084</v>
      </c>
      <c r="E33">
        <v>303</v>
      </c>
      <c r="K33">
        <v>0.36</v>
      </c>
      <c r="N33">
        <v>1</v>
      </c>
      <c r="R33" t="s">
        <v>155</v>
      </c>
      <c r="S33" t="s">
        <v>66</v>
      </c>
      <c r="T33" t="s">
        <v>58</v>
      </c>
      <c r="V33" t="s">
        <v>60</v>
      </c>
    </row>
    <row r="34" spans="1:22">
      <c r="A34" t="s">
        <v>165</v>
      </c>
      <c r="B34">
        <v>0.9266</v>
      </c>
      <c r="C34">
        <v>215</v>
      </c>
      <c r="D34">
        <v>1.3899</v>
      </c>
      <c r="E34">
        <v>120</v>
      </c>
      <c r="N34">
        <v>1</v>
      </c>
      <c r="R34" t="s">
        <v>155</v>
      </c>
      <c r="S34" t="s">
        <v>67</v>
      </c>
      <c r="T34" t="s">
        <v>58</v>
      </c>
    </row>
    <row r="35" spans="1:22">
      <c r="A35" t="s">
        <v>166</v>
      </c>
      <c r="B35">
        <v>0.51075</v>
      </c>
      <c r="C35">
        <v>118</v>
      </c>
      <c r="D35">
        <v>0.7661</v>
      </c>
      <c r="E35">
        <v>66</v>
      </c>
      <c r="N35">
        <v>1</v>
      </c>
      <c r="R35" t="s">
        <v>155</v>
      </c>
      <c r="S35" t="s">
        <v>66</v>
      </c>
      <c r="T35" t="s">
        <v>58</v>
      </c>
      <c r="V35" t="s">
        <v>59</v>
      </c>
    </row>
    <row r="36" spans="1:22">
      <c r="A36" t="s">
        <v>167</v>
      </c>
      <c r="B36">
        <v>1.0215</v>
      </c>
      <c r="C36">
        <v>236</v>
      </c>
      <c r="D36">
        <v>1.5323</v>
      </c>
      <c r="E36">
        <v>132</v>
      </c>
      <c r="K36">
        <v>0.36</v>
      </c>
      <c r="N36">
        <v>1</v>
      </c>
      <c r="R36" t="s">
        <v>155</v>
      </c>
      <c r="S36" t="s">
        <v>66</v>
      </c>
      <c r="T36" t="s">
        <v>58</v>
      </c>
      <c r="V36" t="s">
        <v>59</v>
      </c>
    </row>
    <row r="37" spans="1:22">
      <c r="A37" t="s">
        <v>168</v>
      </c>
      <c r="B37">
        <v>1.2793</v>
      </c>
      <c r="C37">
        <v>296</v>
      </c>
      <c r="D37">
        <v>1.919</v>
      </c>
      <c r="E37">
        <v>166</v>
      </c>
      <c r="N37">
        <v>1</v>
      </c>
      <c r="R37" t="s">
        <v>155</v>
      </c>
      <c r="S37" t="s">
        <v>67</v>
      </c>
      <c r="T37" t="s">
        <v>58</v>
      </c>
    </row>
    <row r="38" spans="1:22">
      <c r="A38" t="s">
        <v>169</v>
      </c>
      <c r="B38">
        <v>1.2473</v>
      </c>
      <c r="C38">
        <v>289</v>
      </c>
      <c r="D38">
        <v>1.8709</v>
      </c>
      <c r="E38">
        <v>161</v>
      </c>
      <c r="K38">
        <v>0.36</v>
      </c>
      <c r="N38">
        <v>1</v>
      </c>
      <c r="O38">
        <v>0</v>
      </c>
      <c r="R38" t="s">
        <v>155</v>
      </c>
      <c r="S38" t="s">
        <v>67</v>
      </c>
      <c r="T38" t="s">
        <v>58</v>
      </c>
    </row>
    <row r="39" spans="1:22">
      <c r="A39" t="s">
        <v>170</v>
      </c>
      <c r="B39">
        <v>3.018</v>
      </c>
      <c r="C39">
        <v>698</v>
      </c>
      <c r="D39">
        <v>4.5271</v>
      </c>
      <c r="E39">
        <v>390</v>
      </c>
      <c r="K39">
        <v>0.36</v>
      </c>
      <c r="N39">
        <v>1</v>
      </c>
      <c r="O39">
        <v>0</v>
      </c>
      <c r="R39" t="s">
        <v>155</v>
      </c>
      <c r="S39" t="s">
        <v>67</v>
      </c>
      <c r="T39" t="s">
        <v>58</v>
      </c>
    </row>
    <row r="40" spans="1:22">
      <c r="A40" t="s">
        <v>171</v>
      </c>
      <c r="B40">
        <v>1.9039</v>
      </c>
      <c r="C40">
        <v>440</v>
      </c>
      <c r="D40">
        <v>2.8558</v>
      </c>
      <c r="E40">
        <v>246</v>
      </c>
      <c r="K40">
        <v>0.36</v>
      </c>
      <c r="N40">
        <v>1</v>
      </c>
      <c r="Q40">
        <v>1</v>
      </c>
      <c r="R40" t="s">
        <v>155</v>
      </c>
      <c r="S40" t="s">
        <v>67</v>
      </c>
      <c r="T40" t="s">
        <v>58</v>
      </c>
    </row>
    <row r="41" spans="1:22">
      <c r="A41" t="s">
        <v>172</v>
      </c>
      <c r="B41">
        <v>1.6995</v>
      </c>
      <c r="C41">
        <v>393</v>
      </c>
      <c r="D41">
        <v>2.5492</v>
      </c>
      <c r="E41">
        <v>219</v>
      </c>
      <c r="N41">
        <v>1</v>
      </c>
      <c r="R41" t="s">
        <v>155</v>
      </c>
      <c r="S41" t="s">
        <v>66</v>
      </c>
      <c r="T41" t="s">
        <v>58</v>
      </c>
    </row>
    <row r="42" spans="1:22">
      <c r="N42">
        <v>1</v>
      </c>
    </row>
    <row r="43" spans="1:22">
      <c r="A43" t="s">
        <v>173</v>
      </c>
      <c r="B43">
        <v>0.42</v>
      </c>
      <c r="C43">
        <v>98</v>
      </c>
      <c r="D43">
        <v>0.63</v>
      </c>
      <c r="E43">
        <v>55</v>
      </c>
      <c r="N43">
        <v>1</v>
      </c>
      <c r="R43" t="s">
        <v>155</v>
      </c>
      <c r="S43" t="s">
        <v>95</v>
      </c>
      <c r="T43" t="s">
        <v>87</v>
      </c>
    </row>
    <row r="44" spans="1:22">
      <c r="A44" t="s">
        <v>174</v>
      </c>
      <c r="B44">
        <v>0.4503</v>
      </c>
      <c r="C44">
        <v>105</v>
      </c>
      <c r="D44">
        <v>0.6755</v>
      </c>
      <c r="E44">
        <v>58</v>
      </c>
      <c r="N44">
        <v>1</v>
      </c>
      <c r="R44" t="s">
        <v>155</v>
      </c>
      <c r="S44" t="s">
        <v>95</v>
      </c>
      <c r="T44" t="s">
        <v>87</v>
      </c>
    </row>
    <row r="45" spans="1:22">
      <c r="A45" t="s">
        <v>175</v>
      </c>
      <c r="B45">
        <v>0.5767</v>
      </c>
      <c r="C45">
        <v>134</v>
      </c>
      <c r="D45">
        <v>0.865</v>
      </c>
      <c r="E45">
        <v>75</v>
      </c>
      <c r="N45">
        <v>1</v>
      </c>
      <c r="R45" t="s">
        <v>155</v>
      </c>
      <c r="S45" t="s">
        <v>95</v>
      </c>
      <c r="T45" t="s">
        <v>87</v>
      </c>
    </row>
    <row r="46" spans="1:22">
      <c r="A46" t="s">
        <v>176</v>
      </c>
      <c r="B46">
        <v>0.5077</v>
      </c>
      <c r="C46">
        <v>118</v>
      </c>
      <c r="D46">
        <v>0.7615</v>
      </c>
      <c r="E46">
        <v>66</v>
      </c>
      <c r="N46">
        <v>1</v>
      </c>
      <c r="R46" t="s">
        <v>155</v>
      </c>
      <c r="S46" t="s">
        <v>95</v>
      </c>
      <c r="T46" t="s">
        <v>87</v>
      </c>
    </row>
    <row r="47" spans="1:22">
      <c r="A47" t="s">
        <v>177</v>
      </c>
      <c r="B47">
        <v>0.6467</v>
      </c>
      <c r="C47">
        <v>150</v>
      </c>
      <c r="D47">
        <v>0.97</v>
      </c>
      <c r="E47">
        <v>84</v>
      </c>
      <c r="N47">
        <v>1</v>
      </c>
      <c r="R47" t="s">
        <v>155</v>
      </c>
      <c r="S47" t="s">
        <v>95</v>
      </c>
      <c r="T47" t="s">
        <v>87</v>
      </c>
      <c r="V47" t="s">
        <v>89</v>
      </c>
    </row>
    <row r="48" spans="1:22">
      <c r="A48" t="s">
        <v>178</v>
      </c>
      <c r="B48">
        <v>0.9007</v>
      </c>
      <c r="C48">
        <v>209</v>
      </c>
      <c r="D48">
        <v>1.351</v>
      </c>
      <c r="E48">
        <v>117</v>
      </c>
      <c r="N48">
        <v>1</v>
      </c>
      <c r="R48" t="s">
        <v>155</v>
      </c>
      <c r="S48" t="s">
        <v>95</v>
      </c>
      <c r="T48" t="s">
        <v>87</v>
      </c>
      <c r="V48" t="s">
        <v>89</v>
      </c>
    </row>
    <row r="49" spans="1:22">
      <c r="A49" t="s">
        <v>179</v>
      </c>
      <c r="B49">
        <v>1.445</v>
      </c>
      <c r="C49">
        <v>335</v>
      </c>
      <c r="D49">
        <v>2.1675</v>
      </c>
      <c r="E49">
        <v>187</v>
      </c>
      <c r="N49">
        <v>1</v>
      </c>
      <c r="R49" t="s">
        <v>155</v>
      </c>
      <c r="S49" t="s">
        <v>95</v>
      </c>
      <c r="T49" t="s">
        <v>87</v>
      </c>
      <c r="V49" t="s">
        <v>89</v>
      </c>
    </row>
    <row r="50" spans="1:22">
      <c r="A50" t="s">
        <v>180</v>
      </c>
      <c r="B50">
        <v>1.7353</v>
      </c>
      <c r="C50">
        <v>402</v>
      </c>
      <c r="D50">
        <v>2.603</v>
      </c>
      <c r="E50">
        <v>224</v>
      </c>
      <c r="N50">
        <v>1</v>
      </c>
      <c r="R50" t="s">
        <v>155</v>
      </c>
      <c r="S50" t="s">
        <v>95</v>
      </c>
      <c r="T50" t="s">
        <v>87</v>
      </c>
      <c r="V50" t="s">
        <v>89</v>
      </c>
    </row>
    <row r="51" spans="1:22">
      <c r="A51" t="s">
        <v>181</v>
      </c>
      <c r="B51">
        <v>2.5337</v>
      </c>
      <c r="C51">
        <v>586</v>
      </c>
      <c r="D51">
        <v>3.8005</v>
      </c>
      <c r="E51">
        <v>327</v>
      </c>
      <c r="N51">
        <v>1</v>
      </c>
      <c r="R51" t="s">
        <v>155</v>
      </c>
      <c r="S51" t="s">
        <v>95</v>
      </c>
      <c r="T51" t="s">
        <v>87</v>
      </c>
      <c r="V51" t="s">
        <v>89</v>
      </c>
    </row>
    <row r="52" spans="1:22">
      <c r="A52" t="s">
        <v>182</v>
      </c>
      <c r="B52">
        <v>1.3543</v>
      </c>
      <c r="C52">
        <v>314</v>
      </c>
      <c r="D52">
        <v>2.0315</v>
      </c>
      <c r="E52">
        <v>175</v>
      </c>
      <c r="N52">
        <v>1</v>
      </c>
      <c r="R52" t="s">
        <v>155</v>
      </c>
      <c r="S52" t="s">
        <v>95</v>
      </c>
      <c r="T52" t="s">
        <v>87</v>
      </c>
      <c r="V52" t="s">
        <v>93</v>
      </c>
    </row>
    <row r="53" spans="1:22">
      <c r="A53" t="s">
        <v>183</v>
      </c>
      <c r="B53">
        <v>0.35</v>
      </c>
      <c r="D53">
        <v>0.525</v>
      </c>
      <c r="N53">
        <v>1</v>
      </c>
      <c r="O53">
        <v>0</v>
      </c>
      <c r="R53" t="s">
        <v>155</v>
      </c>
      <c r="S53" t="s">
        <v>96</v>
      </c>
      <c r="T53" t="s">
        <v>87</v>
      </c>
      <c r="U53" t="s">
        <v>184</v>
      </c>
      <c r="V53" t="s">
        <v>88</v>
      </c>
    </row>
    <row r="54" spans="1:22">
      <c r="A54" t="s">
        <v>185</v>
      </c>
      <c r="B54">
        <v>0.062</v>
      </c>
      <c r="C54">
        <v>14</v>
      </c>
      <c r="D54">
        <v>0.093</v>
      </c>
      <c r="E54">
        <v>8</v>
      </c>
      <c r="N54">
        <v>1</v>
      </c>
      <c r="R54" t="s">
        <v>155</v>
      </c>
      <c r="S54" t="s">
        <v>96</v>
      </c>
      <c r="T54" t="s">
        <v>87</v>
      </c>
    </row>
    <row r="55" spans="1:22">
      <c r="A55" t="s">
        <v>186</v>
      </c>
      <c r="N55">
        <v>1</v>
      </c>
      <c r="R55" t="s">
        <v>129</v>
      </c>
      <c r="S55" t="s">
        <v>38</v>
      </c>
      <c r="U55" t="s">
        <v>187</v>
      </c>
    </row>
    <row r="56" spans="1:22">
      <c r="N56">
        <v>1</v>
      </c>
    </row>
    <row r="57" spans="1:22">
      <c r="A57" t="s">
        <v>188</v>
      </c>
      <c r="B57">
        <v>2.72</v>
      </c>
      <c r="C57">
        <v>513</v>
      </c>
      <c r="D57">
        <v>4.0799</v>
      </c>
      <c r="E57">
        <v>349</v>
      </c>
      <c r="L57">
        <v>0</v>
      </c>
      <c r="M57">
        <v>0</v>
      </c>
      <c r="N57">
        <v>1</v>
      </c>
      <c r="R57" t="s">
        <v>155</v>
      </c>
      <c r="S57" t="s">
        <v>48</v>
      </c>
      <c r="T57" t="s">
        <v>36</v>
      </c>
      <c r="V57" t="s">
        <v>46</v>
      </c>
    </row>
    <row r="58" spans="1:22">
      <c r="A58" t="s">
        <v>189</v>
      </c>
      <c r="B58">
        <v>0.75</v>
      </c>
      <c r="D58">
        <v>1.14</v>
      </c>
      <c r="L58">
        <v>0</v>
      </c>
      <c r="M58">
        <v>0</v>
      </c>
      <c r="N58">
        <v>1</v>
      </c>
      <c r="R58" t="s">
        <v>129</v>
      </c>
      <c r="S58" t="s">
        <v>48</v>
      </c>
      <c r="T58" t="s">
        <v>36</v>
      </c>
    </row>
    <row r="59" spans="1:22">
      <c r="A59" t="s">
        <v>190</v>
      </c>
      <c r="B59">
        <v>1.1775</v>
      </c>
      <c r="C59">
        <v>272</v>
      </c>
      <c r="D59">
        <v>1.7663</v>
      </c>
      <c r="E59">
        <v>152</v>
      </c>
      <c r="L59">
        <v>0</v>
      </c>
      <c r="M59">
        <v>0</v>
      </c>
      <c r="N59">
        <v>1</v>
      </c>
      <c r="R59" t="s">
        <v>155</v>
      </c>
      <c r="S59" t="s">
        <v>48</v>
      </c>
      <c r="T59" t="s">
        <v>36</v>
      </c>
      <c r="V59" t="s">
        <v>191</v>
      </c>
    </row>
    <row r="60" spans="1:22">
      <c r="A60" t="s">
        <v>192</v>
      </c>
      <c r="B60">
        <v>0.6</v>
      </c>
      <c r="D60">
        <v>0.9</v>
      </c>
      <c r="L60">
        <v>0</v>
      </c>
      <c r="M60">
        <v>0</v>
      </c>
      <c r="N60">
        <v>1</v>
      </c>
      <c r="R60" t="s">
        <v>129</v>
      </c>
      <c r="S60" t="s">
        <v>48</v>
      </c>
      <c r="T60" t="s">
        <v>36</v>
      </c>
    </row>
    <row r="61" spans="1:22">
      <c r="A61" t="s">
        <v>193</v>
      </c>
      <c r="B61">
        <v>0.94</v>
      </c>
      <c r="C61">
        <v>217</v>
      </c>
      <c r="D61">
        <v>1.41</v>
      </c>
      <c r="E61">
        <v>121</v>
      </c>
      <c r="L61">
        <v>0</v>
      </c>
      <c r="M61">
        <v>0</v>
      </c>
      <c r="N61">
        <v>1</v>
      </c>
      <c r="Q61">
        <v>1</v>
      </c>
      <c r="R61" t="s">
        <v>155</v>
      </c>
      <c r="S61" t="s">
        <v>48</v>
      </c>
      <c r="T61" t="s">
        <v>36</v>
      </c>
    </row>
    <row r="62" spans="1:22">
      <c r="A62" t="s">
        <v>194</v>
      </c>
      <c r="B62">
        <v>0.321</v>
      </c>
      <c r="C62">
        <v>74</v>
      </c>
      <c r="D62">
        <v>0.4814</v>
      </c>
      <c r="E62">
        <v>41</v>
      </c>
      <c r="L62">
        <v>0</v>
      </c>
      <c r="M62">
        <v>0</v>
      </c>
      <c r="N62">
        <v>1</v>
      </c>
      <c r="R62" t="s">
        <v>155</v>
      </c>
      <c r="S62" t="s">
        <v>49</v>
      </c>
      <c r="T62" t="s">
        <v>36</v>
      </c>
      <c r="V62" t="s">
        <v>47</v>
      </c>
    </row>
    <row r="63" spans="1:22">
      <c r="A63" t="s">
        <v>195</v>
      </c>
      <c r="B63">
        <v>2.14</v>
      </c>
      <c r="C63">
        <v>493</v>
      </c>
      <c r="D63">
        <v>3.2094</v>
      </c>
      <c r="E63">
        <v>274</v>
      </c>
      <c r="L63">
        <v>0</v>
      </c>
      <c r="M63">
        <v>0</v>
      </c>
      <c r="N63">
        <v>1</v>
      </c>
      <c r="R63" t="s">
        <v>155</v>
      </c>
      <c r="S63" t="s">
        <v>49</v>
      </c>
      <c r="T63" t="s">
        <v>36</v>
      </c>
      <c r="V63" t="s">
        <v>47</v>
      </c>
    </row>
    <row r="64" spans="1:22">
      <c r="A64" t="s">
        <v>196</v>
      </c>
      <c r="B64">
        <v>1.7118</v>
      </c>
      <c r="C64">
        <v>396</v>
      </c>
      <c r="D64">
        <v>2.5677</v>
      </c>
      <c r="E64">
        <v>221</v>
      </c>
      <c r="L64">
        <v>0</v>
      </c>
      <c r="M64">
        <v>0</v>
      </c>
      <c r="N64">
        <v>1</v>
      </c>
      <c r="R64" t="s">
        <v>155</v>
      </c>
      <c r="S64" t="s">
        <v>49</v>
      </c>
      <c r="T64" t="s">
        <v>36</v>
      </c>
    </row>
    <row r="65" spans="1:22">
      <c r="A65" t="s">
        <v>197</v>
      </c>
      <c r="B65">
        <v>0.68472</v>
      </c>
      <c r="C65">
        <v>158.4</v>
      </c>
      <c r="D65">
        <v>1.02708</v>
      </c>
      <c r="E65">
        <v>88.4</v>
      </c>
      <c r="L65">
        <v>0</v>
      </c>
      <c r="M65">
        <v>0</v>
      </c>
      <c r="N65">
        <v>1</v>
      </c>
      <c r="R65" t="s">
        <v>155</v>
      </c>
      <c r="S65" t="s">
        <v>49</v>
      </c>
      <c r="T65" t="s">
        <v>36</v>
      </c>
    </row>
    <row r="66" spans="1:22">
      <c r="A66" t="s">
        <v>198</v>
      </c>
      <c r="B66">
        <v>1.02708</v>
      </c>
      <c r="C66">
        <v>237.6</v>
      </c>
      <c r="D66">
        <v>1.54062</v>
      </c>
      <c r="E66">
        <v>132.6</v>
      </c>
      <c r="L66">
        <v>0</v>
      </c>
      <c r="M66">
        <v>0</v>
      </c>
      <c r="N66">
        <v>1</v>
      </c>
      <c r="R66" t="s">
        <v>155</v>
      </c>
      <c r="S66" t="s">
        <v>49</v>
      </c>
      <c r="T66" t="s">
        <v>36</v>
      </c>
    </row>
    <row r="67" spans="1:22">
      <c r="A67" t="s">
        <v>199</v>
      </c>
      <c r="B67">
        <v>6.2226</v>
      </c>
      <c r="C67">
        <v>1436</v>
      </c>
      <c r="D67">
        <v>9.3339</v>
      </c>
      <c r="E67">
        <v>803</v>
      </c>
      <c r="L67">
        <v>0</v>
      </c>
      <c r="M67">
        <v>0</v>
      </c>
      <c r="N67">
        <v>1</v>
      </c>
      <c r="Q67">
        <v>1</v>
      </c>
      <c r="R67" t="s">
        <v>155</v>
      </c>
      <c r="S67" t="s">
        <v>49</v>
      </c>
      <c r="T67" t="s">
        <v>36</v>
      </c>
    </row>
    <row r="68" spans="1:22">
      <c r="A68" t="s">
        <v>200</v>
      </c>
      <c r="B68">
        <v>0.373356</v>
      </c>
      <c r="C68">
        <v>86.16</v>
      </c>
      <c r="D68">
        <v>0.560034</v>
      </c>
      <c r="E68">
        <v>48.18</v>
      </c>
      <c r="L68">
        <v>0</v>
      </c>
      <c r="M68">
        <v>0</v>
      </c>
      <c r="N68">
        <v>1</v>
      </c>
      <c r="Q68">
        <v>1</v>
      </c>
      <c r="R68" t="s">
        <v>155</v>
      </c>
      <c r="S68" t="s">
        <v>49</v>
      </c>
      <c r="T68" t="s">
        <v>36</v>
      </c>
    </row>
    <row r="69" spans="1:22">
      <c r="A69" t="s">
        <v>201</v>
      </c>
      <c r="B69">
        <v>1.86678</v>
      </c>
      <c r="C69">
        <v>430.8</v>
      </c>
      <c r="D69">
        <v>2.80017</v>
      </c>
      <c r="E69">
        <v>240.9</v>
      </c>
      <c r="L69">
        <v>0</v>
      </c>
      <c r="M69">
        <v>0</v>
      </c>
      <c r="N69">
        <v>1</v>
      </c>
      <c r="Q69">
        <v>1</v>
      </c>
      <c r="R69" t="s">
        <v>155</v>
      </c>
      <c r="S69" t="s">
        <v>49</v>
      </c>
      <c r="T69" t="s">
        <v>36</v>
      </c>
    </row>
    <row r="70" spans="1:22">
      <c r="A70" t="s">
        <v>202</v>
      </c>
      <c r="B70">
        <v>0.165</v>
      </c>
      <c r="D70">
        <v>0.2475</v>
      </c>
      <c r="L70">
        <v>0</v>
      </c>
      <c r="M70">
        <v>0</v>
      </c>
      <c r="N70">
        <v>1</v>
      </c>
      <c r="P70">
        <v>15</v>
      </c>
      <c r="R70" t="s">
        <v>155</v>
      </c>
      <c r="S70" t="s">
        <v>48</v>
      </c>
      <c r="T70" t="s">
        <v>36</v>
      </c>
      <c r="U70" t="s">
        <v>142</v>
      </c>
      <c r="V70" t="s">
        <v>51</v>
      </c>
    </row>
    <row r="71" spans="1:22">
      <c r="A71" t="s">
        <v>203</v>
      </c>
      <c r="B71">
        <v>0.264</v>
      </c>
      <c r="D71">
        <v>0.396</v>
      </c>
      <c r="L71">
        <v>0</v>
      </c>
      <c r="M71">
        <v>0</v>
      </c>
      <c r="N71">
        <v>1</v>
      </c>
      <c r="P71">
        <v>15</v>
      </c>
      <c r="R71" t="s">
        <v>155</v>
      </c>
      <c r="S71" t="s">
        <v>48</v>
      </c>
      <c r="T71" t="s">
        <v>36</v>
      </c>
      <c r="U71" t="s">
        <v>142</v>
      </c>
      <c r="V71" t="s">
        <v>51</v>
      </c>
    </row>
    <row r="72" spans="1:22">
      <c r="A72" t="s">
        <v>204</v>
      </c>
      <c r="B72">
        <v>0.33</v>
      </c>
      <c r="D72">
        <v>0.495</v>
      </c>
      <c r="L72">
        <v>0</v>
      </c>
      <c r="M72">
        <v>0</v>
      </c>
      <c r="N72">
        <v>1</v>
      </c>
      <c r="P72">
        <v>15</v>
      </c>
      <c r="R72" t="s">
        <v>155</v>
      </c>
      <c r="S72" t="s">
        <v>48</v>
      </c>
      <c r="T72" t="s">
        <v>36</v>
      </c>
      <c r="U72" t="s">
        <v>142</v>
      </c>
      <c r="V72" t="s">
        <v>51</v>
      </c>
    </row>
    <row r="73" spans="1:22">
      <c r="A73" t="s">
        <v>205</v>
      </c>
      <c r="B73">
        <v>2.4</v>
      </c>
      <c r="D73">
        <v>3.6</v>
      </c>
      <c r="L73">
        <v>0</v>
      </c>
      <c r="M73">
        <v>0.3</v>
      </c>
      <c r="N73">
        <v>1</v>
      </c>
      <c r="P73">
        <v>15</v>
      </c>
      <c r="R73" t="s">
        <v>155</v>
      </c>
      <c r="S73" t="s">
        <v>48</v>
      </c>
      <c r="T73" t="s">
        <v>36</v>
      </c>
      <c r="V73" t="s">
        <v>51</v>
      </c>
    </row>
    <row r="74" spans="1:22">
      <c r="N74">
        <v>1</v>
      </c>
    </row>
    <row r="75" spans="1:22">
      <c r="A75" t="s">
        <v>206</v>
      </c>
      <c r="B75">
        <v>1.0252</v>
      </c>
      <c r="C75">
        <v>236</v>
      </c>
      <c r="D75">
        <v>1.5378</v>
      </c>
      <c r="E75">
        <v>132</v>
      </c>
      <c r="N75">
        <v>1</v>
      </c>
      <c r="R75" t="s">
        <v>155</v>
      </c>
      <c r="S75" t="s">
        <v>48</v>
      </c>
      <c r="T75" t="s">
        <v>36</v>
      </c>
    </row>
    <row r="76" spans="1:22">
      <c r="A76" t="s">
        <v>207</v>
      </c>
      <c r="B76">
        <v>1.5378</v>
      </c>
      <c r="C76">
        <v>355</v>
      </c>
      <c r="D76">
        <v>2.3067</v>
      </c>
      <c r="E76">
        <v>198</v>
      </c>
      <c r="N76">
        <v>1</v>
      </c>
      <c r="R76" t="s">
        <v>155</v>
      </c>
      <c r="S76" t="s">
        <v>48</v>
      </c>
      <c r="T76" t="s">
        <v>36</v>
      </c>
    </row>
    <row r="77" spans="1:22">
      <c r="A77" t="s">
        <v>208</v>
      </c>
      <c r="B77">
        <v>2.563</v>
      </c>
      <c r="C77">
        <v>592</v>
      </c>
      <c r="D77">
        <v>3.8446</v>
      </c>
      <c r="E77">
        <v>331</v>
      </c>
      <c r="N77">
        <v>1</v>
      </c>
      <c r="R77" t="s">
        <v>155</v>
      </c>
      <c r="S77" t="s">
        <v>48</v>
      </c>
      <c r="T77" t="s">
        <v>36</v>
      </c>
    </row>
    <row r="78" spans="1:22">
      <c r="A78" t="s">
        <v>209</v>
      </c>
      <c r="B78">
        <v>1.5098</v>
      </c>
      <c r="C78">
        <v>349</v>
      </c>
      <c r="D78">
        <v>2.2647</v>
      </c>
      <c r="E78">
        <v>195</v>
      </c>
      <c r="N78">
        <v>1</v>
      </c>
      <c r="Q78">
        <v>1</v>
      </c>
      <c r="R78" t="s">
        <v>155</v>
      </c>
      <c r="S78" t="s">
        <v>48</v>
      </c>
      <c r="T78" t="s">
        <v>36</v>
      </c>
      <c r="V78" t="s">
        <v>37</v>
      </c>
    </row>
    <row r="79" spans="1:22">
      <c r="A79" t="s">
        <v>210</v>
      </c>
      <c r="B79">
        <v>3.2659</v>
      </c>
      <c r="C79">
        <v>755</v>
      </c>
      <c r="D79">
        <v>4.8988</v>
      </c>
      <c r="E79">
        <v>422</v>
      </c>
      <c r="N79">
        <v>1</v>
      </c>
      <c r="Q79">
        <v>1</v>
      </c>
      <c r="R79" t="s">
        <v>155</v>
      </c>
      <c r="S79" t="s">
        <v>48</v>
      </c>
      <c r="T79" t="s">
        <v>36</v>
      </c>
      <c r="V79" t="s">
        <v>37</v>
      </c>
    </row>
    <row r="80" spans="1:22">
      <c r="A80" t="s">
        <v>211</v>
      </c>
      <c r="B80">
        <v>1.3064</v>
      </c>
      <c r="C80">
        <v>302</v>
      </c>
      <c r="D80">
        <v>1.9595</v>
      </c>
      <c r="E80">
        <v>168</v>
      </c>
      <c r="N80">
        <v>1</v>
      </c>
      <c r="O80">
        <v>0.05</v>
      </c>
      <c r="Q80">
        <v>1</v>
      </c>
      <c r="R80" t="s">
        <v>155</v>
      </c>
      <c r="S80" t="s">
        <v>48</v>
      </c>
      <c r="T80" t="s">
        <v>36</v>
      </c>
      <c r="V80" t="s">
        <v>37</v>
      </c>
    </row>
    <row r="81" spans="1:23">
      <c r="A81" t="s">
        <v>212</v>
      </c>
      <c r="B81">
        <v>1.5676</v>
      </c>
      <c r="C81">
        <v>362</v>
      </c>
      <c r="D81">
        <v>2.3514</v>
      </c>
      <c r="E81">
        <v>202</v>
      </c>
      <c r="N81">
        <v>1</v>
      </c>
      <c r="O81">
        <v>0.1</v>
      </c>
      <c r="Q81">
        <v>1</v>
      </c>
      <c r="R81" t="s">
        <v>155</v>
      </c>
      <c r="S81" t="s">
        <v>48</v>
      </c>
      <c r="T81" t="s">
        <v>36</v>
      </c>
      <c r="V81" t="s">
        <v>37</v>
      </c>
    </row>
    <row r="82" spans="1:23">
      <c r="A82" t="s">
        <v>213</v>
      </c>
      <c r="B82">
        <v>1.8289</v>
      </c>
      <c r="C82">
        <v>422</v>
      </c>
      <c r="D82">
        <v>2.7434</v>
      </c>
      <c r="E82">
        <v>236</v>
      </c>
      <c r="N82">
        <v>1</v>
      </c>
      <c r="O82">
        <v>0.15</v>
      </c>
      <c r="Q82">
        <v>1</v>
      </c>
      <c r="R82" t="s">
        <v>155</v>
      </c>
      <c r="S82" t="s">
        <v>48</v>
      </c>
      <c r="T82" t="s">
        <v>36</v>
      </c>
      <c r="V82" t="s">
        <v>37</v>
      </c>
    </row>
    <row r="83" spans="1:23">
      <c r="A83" t="s">
        <v>214</v>
      </c>
      <c r="B83">
        <v>4.7029</v>
      </c>
      <c r="C83">
        <v>1086</v>
      </c>
      <c r="D83">
        <v>7.0543</v>
      </c>
      <c r="E83">
        <v>606</v>
      </c>
      <c r="M83">
        <v>0.18</v>
      </c>
      <c r="N83">
        <v>1</v>
      </c>
      <c r="O83">
        <v>0.15</v>
      </c>
      <c r="Q83">
        <v>1</v>
      </c>
      <c r="R83" t="s">
        <v>155</v>
      </c>
      <c r="S83" t="s">
        <v>48</v>
      </c>
      <c r="T83" t="s">
        <v>36</v>
      </c>
      <c r="V83" t="s">
        <v>37</v>
      </c>
    </row>
    <row r="84" spans="1:23">
      <c r="A84" t="s">
        <v>215</v>
      </c>
      <c r="B84">
        <v>1.767</v>
      </c>
      <c r="C84">
        <v>409</v>
      </c>
      <c r="D84">
        <v>2.6505</v>
      </c>
      <c r="E84">
        <v>228</v>
      </c>
      <c r="M84">
        <v>0.18</v>
      </c>
      <c r="N84">
        <v>1</v>
      </c>
      <c r="R84" t="s">
        <v>155</v>
      </c>
      <c r="S84" t="s">
        <v>48</v>
      </c>
      <c r="T84" t="s">
        <v>36</v>
      </c>
    </row>
    <row r="85" spans="1:23">
      <c r="A85" t="s">
        <v>216</v>
      </c>
      <c r="B85">
        <v>0.5727</v>
      </c>
      <c r="C85">
        <v>133</v>
      </c>
      <c r="D85">
        <v>0.859</v>
      </c>
      <c r="E85">
        <v>74</v>
      </c>
      <c r="N85">
        <v>1</v>
      </c>
      <c r="R85" t="s">
        <v>155</v>
      </c>
      <c r="S85" t="s">
        <v>49</v>
      </c>
      <c r="T85" t="s">
        <v>36</v>
      </c>
    </row>
    <row r="86" spans="1:23">
      <c r="N86">
        <v>1</v>
      </c>
    </row>
    <row r="87" spans="1:23">
      <c r="A87" t="s">
        <v>217</v>
      </c>
      <c r="B87">
        <v>3.1423</v>
      </c>
      <c r="C87">
        <v>725</v>
      </c>
      <c r="D87">
        <v>4.7134</v>
      </c>
      <c r="E87">
        <v>405</v>
      </c>
      <c r="N87">
        <v>1</v>
      </c>
      <c r="O87" t="e">
        <f>IF(套装="连星",15%,0)</f>
        <v>#NAME?</v>
      </c>
      <c r="R87" t="s">
        <v>155</v>
      </c>
      <c r="S87" t="s">
        <v>96</v>
      </c>
      <c r="T87" t="s">
        <v>87</v>
      </c>
    </row>
    <row r="88" spans="1:23">
      <c r="A88" t="s">
        <v>218</v>
      </c>
      <c r="B88">
        <v>1.1132</v>
      </c>
      <c r="C88">
        <v>258</v>
      </c>
      <c r="D88">
        <v>1.6699</v>
      </c>
      <c r="E88">
        <v>144</v>
      </c>
      <c r="N88">
        <v>1</v>
      </c>
      <c r="O88" t="e" cm="1">
        <f t="array" ref="O88">checkxinf("绳舟行木",5%,0)</f>
        <v>#NAME?</v>
      </c>
      <c r="Q88">
        <v>1</v>
      </c>
      <c r="R88" t="s">
        <v>155</v>
      </c>
      <c r="S88" t="s">
        <v>96</v>
      </c>
      <c r="T88" t="s">
        <v>87</v>
      </c>
    </row>
    <row r="89" spans="1:23">
      <c r="A89" t="s">
        <v>219</v>
      </c>
      <c r="B89">
        <v>0.7834</v>
      </c>
      <c r="C89">
        <v>182</v>
      </c>
      <c r="D89">
        <v>1.1751</v>
      </c>
      <c r="E89">
        <v>101</v>
      </c>
      <c r="N89">
        <v>1</v>
      </c>
      <c r="O89" t="e" cm="1">
        <f t="array" ref="O89">checkxinf("绳舟行木",10%,0)</f>
        <v>#NAME?</v>
      </c>
      <c r="Q89">
        <v>1</v>
      </c>
      <c r="R89" t="s">
        <v>155</v>
      </c>
      <c r="S89" t="s">
        <v>96</v>
      </c>
      <c r="T89" t="s">
        <v>87</v>
      </c>
    </row>
    <row r="90" spans="1:23">
      <c r="A90" t="s">
        <v>220</v>
      </c>
      <c r="B90">
        <v>1.7237</v>
      </c>
      <c r="C90">
        <v>399</v>
      </c>
      <c r="D90">
        <v>2.5855</v>
      </c>
      <c r="E90">
        <v>223</v>
      </c>
      <c r="N90">
        <v>1</v>
      </c>
      <c r="O90" t="e" cm="1">
        <f t="array" ref="O90">checkxinf("绳舟行木",15%,0)</f>
        <v>#NAME?</v>
      </c>
      <c r="Q90">
        <v>1</v>
      </c>
      <c r="R90" t="s">
        <v>155</v>
      </c>
      <c r="S90" t="s">
        <v>96</v>
      </c>
      <c r="T90" t="s">
        <v>87</v>
      </c>
    </row>
    <row r="91" spans="1:23">
      <c r="A91" t="s">
        <v>221</v>
      </c>
      <c r="B91">
        <v>2.298</v>
      </c>
      <c r="C91">
        <v>531</v>
      </c>
      <c r="D91">
        <v>3.4471</v>
      </c>
      <c r="E91">
        <v>297</v>
      </c>
      <c r="N91">
        <v>1</v>
      </c>
      <c r="O91" t="e" cm="1">
        <f t="array" ref="O91">Checkxinfa("绳舟行木","六重",15%,0)</f>
        <v>#NAME?</v>
      </c>
      <c r="R91" t="s">
        <v>155</v>
      </c>
      <c r="S91" t="s">
        <v>96</v>
      </c>
      <c r="T91" t="s">
        <v>87</v>
      </c>
      <c r="W91">
        <v>1</v>
      </c>
    </row>
    <row r="92" spans="1:23">
      <c r="A92" t="s">
        <v>222</v>
      </c>
      <c r="N92">
        <v>1</v>
      </c>
      <c r="R92" t="s">
        <v>129</v>
      </c>
      <c r="S92" t="s">
        <v>38</v>
      </c>
      <c r="T92" t="s">
        <v>87</v>
      </c>
    </row>
    <row r="93" spans="1:23">
      <c r="A93" t="s">
        <v>223</v>
      </c>
      <c r="B93">
        <v>1.8079</v>
      </c>
      <c r="C93">
        <v>417</v>
      </c>
      <c r="D93">
        <v>2.7118</v>
      </c>
      <c r="E93">
        <v>233</v>
      </c>
      <c r="N93">
        <v>1</v>
      </c>
      <c r="O93" t="e">
        <f>IF(套装="连星",20%,0)</f>
        <v>#NAME?</v>
      </c>
      <c r="R93" t="s">
        <v>155</v>
      </c>
      <c r="S93" t="s">
        <v>66</v>
      </c>
      <c r="T93" t="s">
        <v>87</v>
      </c>
      <c r="U93" t="s">
        <v>224</v>
      </c>
      <c r="V93" t="s">
        <v>60</v>
      </c>
    </row>
    <row r="94" spans="1:23">
      <c r="A94" t="s">
        <v>225</v>
      </c>
      <c r="B94">
        <v>0.5</v>
      </c>
      <c r="D94">
        <v>0.75</v>
      </c>
      <c r="N94">
        <v>1</v>
      </c>
      <c r="O94">
        <v>0.2</v>
      </c>
      <c r="R94" t="s">
        <v>129</v>
      </c>
      <c r="S94" t="s">
        <v>66</v>
      </c>
      <c r="T94" t="s">
        <v>87</v>
      </c>
      <c r="U94" t="s">
        <v>224</v>
      </c>
    </row>
    <row r="95" spans="1:23">
      <c r="N95">
        <v>1</v>
      </c>
    </row>
    <row r="96" spans="1:23">
      <c r="A96" t="s">
        <v>226</v>
      </c>
      <c r="B96">
        <v>1.8943</v>
      </c>
      <c r="C96">
        <v>438</v>
      </c>
      <c r="D96">
        <v>2.8414</v>
      </c>
      <c r="E96">
        <v>245</v>
      </c>
      <c r="K96">
        <v>0.21</v>
      </c>
      <c r="N96">
        <v>1</v>
      </c>
      <c r="P96">
        <v>12</v>
      </c>
      <c r="R96" t="s">
        <v>155</v>
      </c>
      <c r="S96" t="s">
        <v>77</v>
      </c>
      <c r="T96" t="s">
        <v>69</v>
      </c>
    </row>
    <row r="97" spans="1:22">
      <c r="A97" t="s">
        <v>227</v>
      </c>
      <c r="B97">
        <v>3.5251</v>
      </c>
      <c r="C97">
        <v>815</v>
      </c>
      <c r="D97">
        <v>5.2876</v>
      </c>
      <c r="E97">
        <v>456</v>
      </c>
      <c r="K97">
        <v>0.21</v>
      </c>
      <c r="N97">
        <v>1</v>
      </c>
      <c r="P97">
        <v>12</v>
      </c>
      <c r="R97" t="s">
        <v>155</v>
      </c>
      <c r="S97" t="s">
        <v>77</v>
      </c>
      <c r="T97" t="s">
        <v>69</v>
      </c>
    </row>
    <row r="98" spans="1:22">
      <c r="A98" t="s">
        <v>228</v>
      </c>
      <c r="B98">
        <v>0.8826</v>
      </c>
      <c r="C98">
        <v>204</v>
      </c>
      <c r="D98">
        <v>1.3239</v>
      </c>
      <c r="E98">
        <v>114</v>
      </c>
      <c r="K98">
        <v>0.21</v>
      </c>
      <c r="N98">
        <v>1</v>
      </c>
      <c r="P98">
        <v>12</v>
      </c>
      <c r="Q98">
        <v>1</v>
      </c>
      <c r="R98" t="s">
        <v>155</v>
      </c>
      <c r="S98" t="s">
        <v>77</v>
      </c>
      <c r="T98" t="s">
        <v>69</v>
      </c>
      <c r="V98" t="s">
        <v>80</v>
      </c>
    </row>
    <row r="99" spans="1:22">
      <c r="A99" t="s">
        <v>229</v>
      </c>
      <c r="B99">
        <v>2.0593</v>
      </c>
      <c r="C99">
        <v>475</v>
      </c>
      <c r="D99">
        <v>3.089</v>
      </c>
      <c r="E99">
        <v>266</v>
      </c>
      <c r="K99">
        <v>0.21</v>
      </c>
      <c r="N99">
        <v>1</v>
      </c>
      <c r="P99">
        <v>12</v>
      </c>
      <c r="Q99">
        <v>1</v>
      </c>
      <c r="R99" t="s">
        <v>155</v>
      </c>
      <c r="S99" t="s">
        <v>77</v>
      </c>
      <c r="T99" t="s">
        <v>69</v>
      </c>
      <c r="V99" t="s">
        <v>80</v>
      </c>
    </row>
    <row r="100" spans="1:22">
      <c r="A100" t="s">
        <v>230</v>
      </c>
      <c r="B100">
        <v>1.8623</v>
      </c>
      <c r="C100">
        <v>430</v>
      </c>
      <c r="D100">
        <v>2.7934</v>
      </c>
      <c r="E100">
        <v>240</v>
      </c>
      <c r="K100">
        <v>0.21</v>
      </c>
      <c r="N100">
        <v>1</v>
      </c>
      <c r="O100">
        <v>0.36</v>
      </c>
      <c r="P100">
        <v>12</v>
      </c>
      <c r="Q100">
        <v>1</v>
      </c>
      <c r="R100" t="s">
        <v>155</v>
      </c>
      <c r="S100" t="s">
        <v>77</v>
      </c>
      <c r="T100" t="s">
        <v>69</v>
      </c>
      <c r="V100" t="s">
        <v>80</v>
      </c>
    </row>
    <row r="101" spans="1:22">
      <c r="A101" t="s">
        <v>231</v>
      </c>
      <c r="B101">
        <v>4.345</v>
      </c>
      <c r="C101">
        <v>1002</v>
      </c>
      <c r="D101">
        <v>6.5178</v>
      </c>
      <c r="E101">
        <v>561</v>
      </c>
      <c r="K101">
        <v>0.21</v>
      </c>
      <c r="N101">
        <v>1</v>
      </c>
      <c r="O101">
        <v>0.36</v>
      </c>
      <c r="P101">
        <v>12</v>
      </c>
      <c r="Q101">
        <v>1</v>
      </c>
      <c r="R101" t="s">
        <v>155</v>
      </c>
      <c r="S101" t="s">
        <v>77</v>
      </c>
      <c r="T101" t="s">
        <v>69</v>
      </c>
      <c r="V101" t="s">
        <v>80</v>
      </c>
    </row>
    <row r="102" spans="1:22">
      <c r="A102" t="s">
        <v>232</v>
      </c>
      <c r="B102">
        <v>2.3388</v>
      </c>
      <c r="C102">
        <v>540</v>
      </c>
      <c r="D102">
        <v>3.5082</v>
      </c>
      <c r="E102">
        <v>302</v>
      </c>
      <c r="K102">
        <v>0.21</v>
      </c>
      <c r="N102">
        <v>1</v>
      </c>
      <c r="O102">
        <v>0.36</v>
      </c>
      <c r="P102">
        <v>12</v>
      </c>
      <c r="Q102">
        <v>1</v>
      </c>
      <c r="R102" t="s">
        <v>155</v>
      </c>
      <c r="S102" t="s">
        <v>77</v>
      </c>
      <c r="T102" t="s">
        <v>69</v>
      </c>
      <c r="V102" t="s">
        <v>80</v>
      </c>
    </row>
    <row r="103" spans="1:22">
      <c r="A103" t="s">
        <v>233</v>
      </c>
      <c r="B103">
        <v>5.4573</v>
      </c>
      <c r="C103">
        <v>1260</v>
      </c>
      <c r="D103">
        <v>8.1859</v>
      </c>
      <c r="E103">
        <v>705</v>
      </c>
      <c r="K103">
        <v>0.21</v>
      </c>
      <c r="N103">
        <v>1</v>
      </c>
      <c r="O103">
        <v>0.36</v>
      </c>
      <c r="P103">
        <v>12</v>
      </c>
      <c r="Q103">
        <v>1</v>
      </c>
      <c r="R103" t="s">
        <v>155</v>
      </c>
      <c r="S103" t="s">
        <v>77</v>
      </c>
      <c r="T103" t="s">
        <v>69</v>
      </c>
      <c r="V103" t="s">
        <v>80</v>
      </c>
    </row>
    <row r="104" spans="1:22">
      <c r="A104" t="s">
        <v>234</v>
      </c>
      <c r="B104">
        <v>1.2333</v>
      </c>
      <c r="C104">
        <v>286</v>
      </c>
      <c r="D104">
        <v>1.85</v>
      </c>
      <c r="E104">
        <v>160</v>
      </c>
      <c r="K104">
        <v>0.21</v>
      </c>
      <c r="N104">
        <v>1</v>
      </c>
      <c r="P104">
        <v>12</v>
      </c>
      <c r="R104" t="s">
        <v>155</v>
      </c>
      <c r="S104" t="s">
        <v>85</v>
      </c>
      <c r="T104" t="s">
        <v>69</v>
      </c>
    </row>
    <row r="105" spans="1:22">
      <c r="A105" t="s">
        <v>235</v>
      </c>
      <c r="B105">
        <v>1.4904</v>
      </c>
      <c r="C105">
        <v>345</v>
      </c>
      <c r="D105">
        <v>2.2356</v>
      </c>
      <c r="E105">
        <v>193</v>
      </c>
      <c r="K105">
        <v>0.21</v>
      </c>
      <c r="N105">
        <v>1</v>
      </c>
      <c r="P105">
        <v>12</v>
      </c>
      <c r="R105" t="s">
        <v>155</v>
      </c>
      <c r="S105" t="s">
        <v>85</v>
      </c>
      <c r="T105" t="s">
        <v>69</v>
      </c>
    </row>
    <row r="106" spans="1:22">
      <c r="A106" t="s">
        <v>236</v>
      </c>
      <c r="B106">
        <v>2.1319</v>
      </c>
      <c r="C106">
        <v>493</v>
      </c>
      <c r="D106">
        <v>3.1978</v>
      </c>
      <c r="E106">
        <v>276</v>
      </c>
      <c r="K106">
        <v>0.21</v>
      </c>
      <c r="N106">
        <v>1</v>
      </c>
      <c r="P106">
        <v>12</v>
      </c>
      <c r="R106" t="s">
        <v>155</v>
      </c>
      <c r="S106" t="s">
        <v>85</v>
      </c>
      <c r="T106" t="s">
        <v>69</v>
      </c>
    </row>
    <row r="107" spans="1:22">
      <c r="A107" t="s">
        <v>237</v>
      </c>
      <c r="B107">
        <v>0.3779</v>
      </c>
      <c r="C107">
        <v>87</v>
      </c>
      <c r="D107">
        <v>0.5669</v>
      </c>
      <c r="E107">
        <v>48</v>
      </c>
      <c r="K107">
        <v>0.21</v>
      </c>
      <c r="N107">
        <v>1</v>
      </c>
      <c r="P107">
        <v>12</v>
      </c>
      <c r="R107" t="s">
        <v>155</v>
      </c>
      <c r="S107" t="s">
        <v>85</v>
      </c>
      <c r="T107" t="s">
        <v>69</v>
      </c>
    </row>
    <row r="108" spans="1:22">
      <c r="A108" t="s">
        <v>238</v>
      </c>
      <c r="B108">
        <v>1.5117</v>
      </c>
      <c r="C108">
        <v>349</v>
      </c>
      <c r="D108">
        <v>2.2675</v>
      </c>
      <c r="E108">
        <v>195</v>
      </c>
      <c r="K108">
        <v>0.21</v>
      </c>
      <c r="N108">
        <v>1</v>
      </c>
      <c r="P108">
        <v>12</v>
      </c>
      <c r="R108" t="s">
        <v>155</v>
      </c>
      <c r="S108" t="s">
        <v>85</v>
      </c>
      <c r="T108" t="s">
        <v>69</v>
      </c>
    </row>
    <row r="109" spans="1:22">
      <c r="A109" t="s">
        <v>239</v>
      </c>
      <c r="B109">
        <v>1.8896</v>
      </c>
      <c r="C109">
        <v>436</v>
      </c>
      <c r="D109">
        <v>2.8344</v>
      </c>
      <c r="E109">
        <v>244</v>
      </c>
      <c r="K109">
        <v>0.21</v>
      </c>
      <c r="N109">
        <v>1</v>
      </c>
      <c r="P109">
        <v>12</v>
      </c>
      <c r="R109" t="s">
        <v>155</v>
      </c>
      <c r="S109" t="s">
        <v>85</v>
      </c>
      <c r="T109" t="s">
        <v>69</v>
      </c>
    </row>
    <row r="110" spans="1:22">
      <c r="A110" t="s">
        <v>240</v>
      </c>
      <c r="B110">
        <v>2.449</v>
      </c>
      <c r="C110">
        <v>565</v>
      </c>
      <c r="D110">
        <v>3.6736</v>
      </c>
      <c r="E110">
        <v>316</v>
      </c>
      <c r="K110">
        <v>0.21</v>
      </c>
      <c r="N110">
        <v>1</v>
      </c>
      <c r="P110">
        <v>12</v>
      </c>
      <c r="Q110">
        <v>1</v>
      </c>
      <c r="R110" t="s">
        <v>155</v>
      </c>
      <c r="S110" t="s">
        <v>85</v>
      </c>
      <c r="T110" t="s">
        <v>69</v>
      </c>
      <c r="V110" t="s">
        <v>79</v>
      </c>
    </row>
    <row r="111" spans="1:22">
      <c r="A111" t="s">
        <v>241</v>
      </c>
      <c r="B111">
        <v>0.3823</v>
      </c>
      <c r="C111">
        <v>89</v>
      </c>
      <c r="D111">
        <v>0.5734</v>
      </c>
      <c r="E111">
        <v>50</v>
      </c>
      <c r="K111">
        <v>0.21</v>
      </c>
      <c r="N111">
        <v>1</v>
      </c>
      <c r="O111">
        <v>0</v>
      </c>
      <c r="P111">
        <v>12</v>
      </c>
      <c r="R111" t="s">
        <v>155</v>
      </c>
      <c r="S111" t="s">
        <v>85</v>
      </c>
      <c r="T111" t="s">
        <v>69</v>
      </c>
      <c r="V111" t="s">
        <v>79</v>
      </c>
    </row>
    <row r="112" spans="1:22">
      <c r="A112" t="s">
        <v>242</v>
      </c>
      <c r="B112">
        <v>2.0764</v>
      </c>
      <c r="C112">
        <v>480</v>
      </c>
      <c r="D112">
        <v>3.1145</v>
      </c>
      <c r="E112">
        <v>268</v>
      </c>
      <c r="K112">
        <v>0.21</v>
      </c>
      <c r="N112">
        <v>1.2</v>
      </c>
      <c r="O112">
        <v>0.1</v>
      </c>
      <c r="P112">
        <v>12</v>
      </c>
      <c r="R112" t="s">
        <v>155</v>
      </c>
      <c r="S112" t="s">
        <v>85</v>
      </c>
      <c r="T112" t="s">
        <v>69</v>
      </c>
      <c r="V112" t="s">
        <v>79</v>
      </c>
    </row>
    <row r="113" spans="1:22">
      <c r="A113" t="s">
        <v>243</v>
      </c>
      <c r="B113">
        <v>3.5298</v>
      </c>
      <c r="C113">
        <v>816</v>
      </c>
      <c r="D113">
        <v>5.2947</v>
      </c>
      <c r="E113">
        <v>455</v>
      </c>
      <c r="K113">
        <v>0.21</v>
      </c>
      <c r="N113">
        <v>1</v>
      </c>
      <c r="O113">
        <v>0.1</v>
      </c>
      <c r="P113">
        <v>12</v>
      </c>
      <c r="R113" t="s">
        <v>155</v>
      </c>
      <c r="S113" t="s">
        <v>85</v>
      </c>
      <c r="T113" t="s">
        <v>69</v>
      </c>
      <c r="V113" t="s">
        <v>79</v>
      </c>
    </row>
    <row r="114" spans="1:22">
      <c r="A114" t="s">
        <v>244</v>
      </c>
      <c r="B114">
        <v>1.4</v>
      </c>
      <c r="D114">
        <v>2.1</v>
      </c>
      <c r="K114">
        <v>0.21</v>
      </c>
      <c r="N114">
        <v>1</v>
      </c>
      <c r="O114">
        <v>0</v>
      </c>
      <c r="P114">
        <v>12</v>
      </c>
      <c r="R114" t="s">
        <v>129</v>
      </c>
      <c r="S114" t="s">
        <v>85</v>
      </c>
      <c r="T114" t="s">
        <v>69</v>
      </c>
      <c r="V114" t="s">
        <v>79</v>
      </c>
    </row>
    <row r="115" spans="1:22">
      <c r="A115" t="s">
        <v>245</v>
      </c>
      <c r="B115">
        <v>0.5</v>
      </c>
      <c r="D115">
        <v>0.75</v>
      </c>
      <c r="K115">
        <v>0.21</v>
      </c>
      <c r="N115">
        <v>1</v>
      </c>
      <c r="O115">
        <v>0</v>
      </c>
      <c r="P115">
        <v>12</v>
      </c>
      <c r="R115" t="s">
        <v>129</v>
      </c>
      <c r="S115" t="s">
        <v>77</v>
      </c>
      <c r="T115" t="s">
        <v>69</v>
      </c>
      <c r="V115" t="s">
        <v>80</v>
      </c>
    </row>
    <row r="116" spans="1:22">
      <c r="A116" t="s">
        <v>246</v>
      </c>
      <c r="B116">
        <v>0.9</v>
      </c>
      <c r="D116">
        <v>1.35</v>
      </c>
      <c r="K116">
        <v>0.21</v>
      </c>
      <c r="N116">
        <v>1</v>
      </c>
      <c r="O116">
        <v>0</v>
      </c>
      <c r="P116">
        <v>12</v>
      </c>
      <c r="R116" t="s">
        <v>129</v>
      </c>
      <c r="S116" t="s">
        <v>77</v>
      </c>
      <c r="T116" t="s">
        <v>69</v>
      </c>
      <c r="V116" t="s">
        <v>80</v>
      </c>
    </row>
    <row r="117" spans="1:22">
      <c r="A117" t="s">
        <v>247</v>
      </c>
      <c r="B117">
        <v>0.5</v>
      </c>
      <c r="D117">
        <v>0.75</v>
      </c>
      <c r="K117">
        <v>0.21</v>
      </c>
      <c r="N117">
        <v>1</v>
      </c>
      <c r="O117">
        <v>0</v>
      </c>
      <c r="P117">
        <v>12</v>
      </c>
      <c r="R117" t="s">
        <v>129</v>
      </c>
      <c r="S117" t="s">
        <v>77</v>
      </c>
      <c r="T117" t="s">
        <v>69</v>
      </c>
    </row>
    <row r="118" spans="1:22">
      <c r="A118" t="s">
        <v>248</v>
      </c>
      <c r="B118">
        <v>0.6481</v>
      </c>
      <c r="C118">
        <v>151</v>
      </c>
      <c r="D118">
        <v>0.9722</v>
      </c>
      <c r="E118">
        <v>84</v>
      </c>
      <c r="K118">
        <v>0.21</v>
      </c>
      <c r="N118">
        <v>1</v>
      </c>
      <c r="P118">
        <v>12</v>
      </c>
      <c r="R118" t="s">
        <v>155</v>
      </c>
      <c r="S118" t="s">
        <v>85</v>
      </c>
      <c r="T118" t="s">
        <v>69</v>
      </c>
    </row>
  </sheetData>
  <pageMargins left="0.75" right="0.75" top="1" bottom="1" header="0.5" footer="0.5"/>
  <headerFooter/>
  <ignoredErrors>
    <ignoredError sqref="A1:W118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3"/>
  <sheetViews>
    <sheetView tabSelected="1" topLeftCell="M1" workbookViewId="0">
      <selection activeCell="AG12" sqref="AG12:AG13"/>
    </sheetView>
  </sheetViews>
  <sheetFormatPr defaultColWidth="9" defaultRowHeight="15.6"/>
  <sheetData>
    <row r="1" spans="1:38">
      <c r="A1" t="s">
        <v>12</v>
      </c>
      <c r="B1" t="s">
        <v>249</v>
      </c>
      <c r="C1" t="s">
        <v>250</v>
      </c>
      <c r="D1" t="s">
        <v>251</v>
      </c>
      <c r="E1" t="s">
        <v>252</v>
      </c>
      <c r="F1" t="s">
        <v>253</v>
      </c>
      <c r="G1" t="s">
        <v>254</v>
      </c>
      <c r="H1" t="s">
        <v>255</v>
      </c>
      <c r="I1" t="s">
        <v>256</v>
      </c>
      <c r="J1" t="s">
        <v>257</v>
      </c>
      <c r="K1" t="s">
        <v>258</v>
      </c>
      <c r="L1" t="s">
        <v>259</v>
      </c>
      <c r="M1" t="s">
        <v>260</v>
      </c>
      <c r="N1" t="s">
        <v>261</v>
      </c>
      <c r="O1" t="s">
        <v>262</v>
      </c>
      <c r="P1" t="s">
        <v>263</v>
      </c>
      <c r="Q1" t="s">
        <v>264</v>
      </c>
      <c r="R1" t="s">
        <v>265</v>
      </c>
      <c r="S1" t="s">
        <v>266</v>
      </c>
      <c r="T1" t="s">
        <v>267</v>
      </c>
      <c r="U1" t="s">
        <v>268</v>
      </c>
      <c r="V1" t="s">
        <v>269</v>
      </c>
      <c r="W1" t="s">
        <v>270</v>
      </c>
      <c r="X1" t="s">
        <v>271</v>
      </c>
      <c r="Y1" t="s">
        <v>272</v>
      </c>
      <c r="Z1" t="s">
        <v>273</v>
      </c>
      <c r="AA1" t="s">
        <v>274</v>
      </c>
      <c r="AB1" t="s">
        <v>275</v>
      </c>
      <c r="AC1" t="s">
        <v>276</v>
      </c>
      <c r="AD1" t="s">
        <v>277</v>
      </c>
      <c r="AE1" t="s">
        <v>278</v>
      </c>
      <c r="AF1" t="s">
        <v>279</v>
      </c>
      <c r="AG1" t="s">
        <v>31</v>
      </c>
      <c r="AH1" t="s">
        <v>32</v>
      </c>
      <c r="AI1" t="s">
        <v>15</v>
      </c>
      <c r="AJ1" t="s">
        <v>16</v>
      </c>
      <c r="AK1" t="s">
        <v>17</v>
      </c>
      <c r="AL1" t="s">
        <v>280</v>
      </c>
    </row>
    <row r="2" spans="1:38">
      <c r="A2" t="s">
        <v>35</v>
      </c>
      <c r="B2" t="s">
        <v>281</v>
      </c>
      <c r="C2">
        <v>896.9</v>
      </c>
      <c r="D2">
        <v>2949.8</v>
      </c>
      <c r="E2">
        <v>36</v>
      </c>
      <c r="F2">
        <v>274</v>
      </c>
      <c r="G2">
        <v>549</v>
      </c>
      <c r="H2">
        <v>18</v>
      </c>
      <c r="I2" t="s">
        <v>282</v>
      </c>
      <c r="J2" t="s">
        <v>282</v>
      </c>
      <c r="K2" t="s">
        <v>282</v>
      </c>
      <c r="L2" t="s">
        <v>282</v>
      </c>
      <c r="M2" t="s">
        <v>282</v>
      </c>
      <c r="N2" t="s">
        <v>282</v>
      </c>
      <c r="O2" t="s">
        <v>282</v>
      </c>
      <c r="P2" t="s">
        <v>282</v>
      </c>
      <c r="Q2" t="s">
        <v>282</v>
      </c>
      <c r="R2">
        <v>98.3</v>
      </c>
      <c r="S2">
        <v>45.7</v>
      </c>
      <c r="T2">
        <v>39.6</v>
      </c>
      <c r="U2">
        <v>8.7</v>
      </c>
      <c r="V2">
        <v>2.3</v>
      </c>
      <c r="W2" t="s">
        <v>282</v>
      </c>
      <c r="X2">
        <v>50</v>
      </c>
      <c r="Y2">
        <v>40.2</v>
      </c>
      <c r="Z2">
        <v>9</v>
      </c>
      <c r="AA2" t="s">
        <v>282</v>
      </c>
      <c r="AB2">
        <v>5.2</v>
      </c>
      <c r="AC2" t="s">
        <v>282</v>
      </c>
      <c r="AD2" t="s">
        <v>282</v>
      </c>
      <c r="AE2" t="s">
        <v>282</v>
      </c>
      <c r="AF2" t="s">
        <v>282</v>
      </c>
      <c r="AG2">
        <v>5.2</v>
      </c>
      <c r="AH2" t="s">
        <v>282</v>
      </c>
      <c r="AI2">
        <v>20</v>
      </c>
      <c r="AJ2" t="s">
        <v>282</v>
      </c>
      <c r="AK2" t="s">
        <v>282</v>
      </c>
      <c r="AL2" t="s">
        <v>283</v>
      </c>
    </row>
    <row r="3" spans="1:38">
      <c r="A3" t="s">
        <v>50</v>
      </c>
      <c r="B3" t="s">
        <v>281</v>
      </c>
      <c r="C3">
        <v>906</v>
      </c>
      <c r="D3">
        <v>3004.7</v>
      </c>
      <c r="E3">
        <v>36</v>
      </c>
      <c r="F3">
        <v>274</v>
      </c>
      <c r="G3">
        <v>549</v>
      </c>
      <c r="H3">
        <v>18</v>
      </c>
      <c r="I3" t="s">
        <v>282</v>
      </c>
      <c r="J3" t="s">
        <v>282</v>
      </c>
      <c r="K3" t="s">
        <v>282</v>
      </c>
      <c r="L3" t="s">
        <v>282</v>
      </c>
      <c r="M3" t="s">
        <v>282</v>
      </c>
      <c r="N3" t="s">
        <v>282</v>
      </c>
      <c r="O3" t="s">
        <v>282</v>
      </c>
      <c r="P3" t="s">
        <v>282</v>
      </c>
      <c r="Q3" t="s">
        <v>282</v>
      </c>
      <c r="R3">
        <v>98.3</v>
      </c>
      <c r="S3">
        <v>50.8</v>
      </c>
      <c r="T3">
        <v>39.6</v>
      </c>
      <c r="U3">
        <v>8.7</v>
      </c>
      <c r="V3">
        <v>2.3</v>
      </c>
      <c r="W3" t="s">
        <v>282</v>
      </c>
      <c r="X3">
        <v>50</v>
      </c>
      <c r="Y3">
        <v>40.2</v>
      </c>
      <c r="Z3">
        <v>9</v>
      </c>
      <c r="AA3" t="s">
        <v>282</v>
      </c>
      <c r="AB3" t="s">
        <v>282</v>
      </c>
      <c r="AC3" t="s">
        <v>282</v>
      </c>
      <c r="AD3" t="s">
        <v>282</v>
      </c>
      <c r="AE3" t="s">
        <v>282</v>
      </c>
      <c r="AF3" t="s">
        <v>282</v>
      </c>
      <c r="AG3">
        <v>5.2</v>
      </c>
      <c r="AH3" t="s">
        <v>282</v>
      </c>
      <c r="AI3">
        <v>20</v>
      </c>
      <c r="AJ3" t="s">
        <v>282</v>
      </c>
      <c r="AK3" t="s">
        <v>282</v>
      </c>
      <c r="AL3" t="s">
        <v>283</v>
      </c>
    </row>
    <row r="4" spans="1:38">
      <c r="A4" t="s">
        <v>57</v>
      </c>
      <c r="B4" t="s">
        <v>281</v>
      </c>
      <c r="C4">
        <v>1187.77</v>
      </c>
      <c r="D4">
        <v>2771.9</v>
      </c>
      <c r="E4">
        <v>41.1</v>
      </c>
      <c r="F4" t="s">
        <v>282</v>
      </c>
      <c r="G4" t="s">
        <v>282</v>
      </c>
      <c r="H4" t="s">
        <v>282</v>
      </c>
      <c r="I4" t="s">
        <v>282</v>
      </c>
      <c r="J4" t="s">
        <v>282</v>
      </c>
      <c r="K4" t="s">
        <v>282</v>
      </c>
      <c r="L4">
        <v>274</v>
      </c>
      <c r="M4">
        <v>549</v>
      </c>
      <c r="N4">
        <v>18</v>
      </c>
      <c r="O4" t="s">
        <v>282</v>
      </c>
      <c r="P4" t="s">
        <v>282</v>
      </c>
      <c r="Q4" t="s">
        <v>282</v>
      </c>
      <c r="R4">
        <v>100</v>
      </c>
      <c r="S4">
        <v>71.5</v>
      </c>
      <c r="T4">
        <v>19.9</v>
      </c>
      <c r="U4">
        <v>8.7</v>
      </c>
      <c r="V4" t="s">
        <v>282</v>
      </c>
      <c r="W4" t="s">
        <v>282</v>
      </c>
      <c r="X4">
        <v>54.4</v>
      </c>
      <c r="Y4">
        <v>35</v>
      </c>
      <c r="Z4">
        <v>9</v>
      </c>
      <c r="AA4" t="s">
        <v>282</v>
      </c>
      <c r="AB4">
        <v>5.2</v>
      </c>
      <c r="AC4" t="s">
        <v>282</v>
      </c>
      <c r="AD4">
        <v>8</v>
      </c>
      <c r="AE4" t="s">
        <v>282</v>
      </c>
      <c r="AF4" t="s">
        <v>282</v>
      </c>
      <c r="AG4" t="s">
        <v>282</v>
      </c>
      <c r="AH4" t="s">
        <v>282</v>
      </c>
      <c r="AI4">
        <v>20</v>
      </c>
      <c r="AJ4">
        <v>0</v>
      </c>
      <c r="AK4">
        <v>0</v>
      </c>
      <c r="AL4" t="s">
        <v>283</v>
      </c>
    </row>
    <row r="5" spans="1:38">
      <c r="A5" t="s">
        <v>57</v>
      </c>
      <c r="B5" t="s">
        <v>284</v>
      </c>
      <c r="C5">
        <v>1989.73</v>
      </c>
      <c r="D5">
        <v>1566.76</v>
      </c>
      <c r="E5">
        <v>41.1</v>
      </c>
      <c r="F5">
        <v>72.4</v>
      </c>
      <c r="G5" t="s">
        <v>282</v>
      </c>
      <c r="H5" t="s">
        <v>282</v>
      </c>
      <c r="I5">
        <v>72.4</v>
      </c>
      <c r="J5" t="s">
        <v>282</v>
      </c>
      <c r="K5" t="s">
        <v>282</v>
      </c>
      <c r="L5">
        <v>274</v>
      </c>
      <c r="M5">
        <v>549</v>
      </c>
      <c r="N5">
        <v>18</v>
      </c>
      <c r="O5">
        <v>72.4</v>
      </c>
      <c r="P5" t="s">
        <v>282</v>
      </c>
      <c r="Q5" t="s">
        <v>282</v>
      </c>
      <c r="R5">
        <v>100</v>
      </c>
      <c r="S5">
        <v>77.9</v>
      </c>
      <c r="T5">
        <v>12.5</v>
      </c>
      <c r="U5">
        <v>8.7</v>
      </c>
      <c r="V5" t="s">
        <v>282</v>
      </c>
      <c r="W5" t="s">
        <v>282</v>
      </c>
      <c r="X5">
        <v>54.4</v>
      </c>
      <c r="Y5">
        <v>35</v>
      </c>
      <c r="Z5">
        <v>9</v>
      </c>
      <c r="AA5">
        <v>2.6</v>
      </c>
      <c r="AB5">
        <v>5.2</v>
      </c>
      <c r="AC5" t="s">
        <v>282</v>
      </c>
      <c r="AD5">
        <v>16</v>
      </c>
      <c r="AE5" t="s">
        <v>282</v>
      </c>
      <c r="AF5" t="s">
        <v>282</v>
      </c>
      <c r="AG5" t="s">
        <v>282</v>
      </c>
      <c r="AH5" t="s">
        <v>282</v>
      </c>
      <c r="AI5">
        <v>20</v>
      </c>
      <c r="AJ5">
        <v>0</v>
      </c>
      <c r="AK5">
        <v>0</v>
      </c>
      <c r="AL5" t="s">
        <v>285</v>
      </c>
    </row>
    <row r="6" spans="1:38">
      <c r="A6" t="s">
        <v>68</v>
      </c>
      <c r="B6" t="s">
        <v>281</v>
      </c>
      <c r="C6">
        <v>1488.77</v>
      </c>
      <c r="D6">
        <v>2769.97</v>
      </c>
      <c r="E6">
        <v>36</v>
      </c>
      <c r="F6" t="s">
        <v>282</v>
      </c>
      <c r="G6" t="s">
        <v>282</v>
      </c>
      <c r="H6" t="s">
        <v>282</v>
      </c>
      <c r="I6">
        <v>274</v>
      </c>
      <c r="J6">
        <v>549</v>
      </c>
      <c r="K6">
        <v>18</v>
      </c>
      <c r="L6" t="s">
        <v>282</v>
      </c>
      <c r="M6" t="s">
        <v>282</v>
      </c>
      <c r="N6" t="s">
        <v>282</v>
      </c>
      <c r="O6" t="s">
        <v>282</v>
      </c>
      <c r="P6" t="s">
        <v>282</v>
      </c>
      <c r="Q6" t="s">
        <v>282</v>
      </c>
      <c r="R6">
        <v>100</v>
      </c>
      <c r="S6">
        <v>56.2</v>
      </c>
      <c r="T6">
        <v>11</v>
      </c>
      <c r="U6">
        <v>8.7</v>
      </c>
      <c r="V6" t="s">
        <v>282</v>
      </c>
      <c r="W6" t="s">
        <v>282</v>
      </c>
      <c r="X6">
        <v>54.4</v>
      </c>
      <c r="Y6">
        <v>35</v>
      </c>
      <c r="Z6">
        <v>9</v>
      </c>
      <c r="AA6">
        <v>2.6</v>
      </c>
      <c r="AB6">
        <v>5.2</v>
      </c>
      <c r="AC6" t="s">
        <v>282</v>
      </c>
      <c r="AD6" t="s">
        <v>282</v>
      </c>
      <c r="AE6" t="s">
        <v>282</v>
      </c>
      <c r="AF6" t="s">
        <v>282</v>
      </c>
      <c r="AG6">
        <v>5.2</v>
      </c>
      <c r="AH6" t="s">
        <v>282</v>
      </c>
      <c r="AI6">
        <v>20</v>
      </c>
      <c r="AJ6">
        <v>0</v>
      </c>
      <c r="AK6">
        <v>0</v>
      </c>
      <c r="AL6" t="s">
        <v>286</v>
      </c>
    </row>
    <row r="7" spans="1:38">
      <c r="A7" t="s">
        <v>68</v>
      </c>
      <c r="B7" t="s">
        <v>284</v>
      </c>
      <c r="C7">
        <v>1907.93</v>
      </c>
      <c r="D7">
        <v>1528.46</v>
      </c>
      <c r="E7">
        <v>36</v>
      </c>
      <c r="F7">
        <v>108.6</v>
      </c>
      <c r="G7" t="s">
        <v>282</v>
      </c>
      <c r="H7" t="s">
        <v>282</v>
      </c>
      <c r="I7">
        <v>274</v>
      </c>
      <c r="J7">
        <v>621.4</v>
      </c>
      <c r="K7">
        <v>18</v>
      </c>
      <c r="L7">
        <v>108.6</v>
      </c>
      <c r="M7" t="s">
        <v>282</v>
      </c>
      <c r="N7" t="s">
        <v>282</v>
      </c>
      <c r="O7">
        <v>108.6</v>
      </c>
      <c r="P7" t="s">
        <v>282</v>
      </c>
      <c r="Q7" t="s">
        <v>282</v>
      </c>
      <c r="R7">
        <v>100</v>
      </c>
      <c r="S7">
        <v>57.5</v>
      </c>
      <c r="T7">
        <v>12.2</v>
      </c>
      <c r="U7">
        <v>8.7</v>
      </c>
      <c r="V7" t="s">
        <v>282</v>
      </c>
      <c r="W7" t="s">
        <v>282</v>
      </c>
      <c r="X7">
        <v>54.4</v>
      </c>
      <c r="Y7">
        <v>35</v>
      </c>
      <c r="Z7">
        <v>9</v>
      </c>
      <c r="AA7">
        <v>5.2</v>
      </c>
      <c r="AB7">
        <v>5.2</v>
      </c>
      <c r="AC7" t="s">
        <v>282</v>
      </c>
      <c r="AD7" t="s">
        <v>282</v>
      </c>
      <c r="AE7" t="s">
        <v>282</v>
      </c>
      <c r="AF7" t="s">
        <v>282</v>
      </c>
      <c r="AG7">
        <v>5.2</v>
      </c>
      <c r="AH7" t="s">
        <v>282</v>
      </c>
      <c r="AI7">
        <v>20</v>
      </c>
      <c r="AJ7">
        <v>0</v>
      </c>
      <c r="AK7">
        <v>0</v>
      </c>
      <c r="AL7" t="s">
        <v>286</v>
      </c>
    </row>
    <row r="8" spans="1:38">
      <c r="A8" t="s">
        <v>78</v>
      </c>
      <c r="B8" t="s">
        <v>281</v>
      </c>
      <c r="C8">
        <v>1133.4</v>
      </c>
      <c r="D8">
        <v>2842.7</v>
      </c>
      <c r="E8">
        <v>36</v>
      </c>
      <c r="F8" t="s">
        <v>282</v>
      </c>
      <c r="G8" t="s">
        <v>282</v>
      </c>
      <c r="H8" t="s">
        <v>282</v>
      </c>
      <c r="I8">
        <v>284.9</v>
      </c>
      <c r="J8">
        <v>570.7</v>
      </c>
      <c r="K8">
        <v>24</v>
      </c>
      <c r="L8" t="s">
        <v>282</v>
      </c>
      <c r="M8" t="s">
        <v>282</v>
      </c>
      <c r="N8" t="s">
        <v>282</v>
      </c>
      <c r="O8" t="s">
        <v>282</v>
      </c>
      <c r="P8" t="s">
        <v>282</v>
      </c>
      <c r="Q8" t="s">
        <v>282</v>
      </c>
      <c r="R8">
        <v>100</v>
      </c>
      <c r="S8">
        <v>68</v>
      </c>
      <c r="T8">
        <v>13.1</v>
      </c>
      <c r="U8">
        <v>9.2</v>
      </c>
      <c r="V8" t="s">
        <v>282</v>
      </c>
      <c r="W8" t="s">
        <v>282</v>
      </c>
      <c r="X8">
        <v>54</v>
      </c>
      <c r="Y8">
        <v>35</v>
      </c>
      <c r="Z8">
        <v>9</v>
      </c>
      <c r="AA8">
        <v>5.2</v>
      </c>
      <c r="AB8">
        <v>5.2</v>
      </c>
      <c r="AC8" t="s">
        <v>282</v>
      </c>
      <c r="AD8" t="s">
        <v>282</v>
      </c>
      <c r="AE8" t="s">
        <v>282</v>
      </c>
      <c r="AF8" t="s">
        <v>282</v>
      </c>
      <c r="AG8">
        <v>5.2</v>
      </c>
      <c r="AH8" t="s">
        <v>282</v>
      </c>
      <c r="AI8">
        <v>0</v>
      </c>
      <c r="AJ8">
        <v>20</v>
      </c>
      <c r="AK8">
        <v>0</v>
      </c>
      <c r="AL8" t="s">
        <v>285</v>
      </c>
    </row>
    <row r="9" spans="1:38">
      <c r="A9" t="s">
        <v>78</v>
      </c>
      <c r="B9" t="s">
        <v>284</v>
      </c>
      <c r="C9">
        <v>1971.7</v>
      </c>
      <c r="D9">
        <v>1528.5</v>
      </c>
      <c r="E9">
        <v>36</v>
      </c>
      <c r="F9">
        <v>72.4</v>
      </c>
      <c r="G9" t="s">
        <v>282</v>
      </c>
      <c r="H9" t="s">
        <v>282</v>
      </c>
      <c r="I9">
        <v>284.9</v>
      </c>
      <c r="J9">
        <v>570.7</v>
      </c>
      <c r="K9">
        <v>24</v>
      </c>
      <c r="L9">
        <v>72.4</v>
      </c>
      <c r="M9" t="s">
        <v>282</v>
      </c>
      <c r="N9" t="s">
        <v>282</v>
      </c>
      <c r="O9">
        <v>72.4</v>
      </c>
      <c r="P9" t="s">
        <v>282</v>
      </c>
      <c r="Q9" t="s">
        <v>282</v>
      </c>
      <c r="R9">
        <v>100</v>
      </c>
      <c r="S9">
        <v>76.5</v>
      </c>
      <c r="T9">
        <v>9.9</v>
      </c>
      <c r="U9">
        <v>9.2</v>
      </c>
      <c r="V9" t="s">
        <v>282</v>
      </c>
      <c r="W9" t="s">
        <v>282</v>
      </c>
      <c r="X9">
        <v>54</v>
      </c>
      <c r="Y9">
        <v>35</v>
      </c>
      <c r="Z9">
        <v>9</v>
      </c>
      <c r="AA9">
        <v>5.2</v>
      </c>
      <c r="AB9">
        <v>5.2</v>
      </c>
      <c r="AC9" t="s">
        <v>282</v>
      </c>
      <c r="AD9" t="s">
        <v>282</v>
      </c>
      <c r="AE9" t="s">
        <v>282</v>
      </c>
      <c r="AF9" t="s">
        <v>282</v>
      </c>
      <c r="AG9">
        <v>5.2</v>
      </c>
      <c r="AH9" t="s">
        <v>282</v>
      </c>
      <c r="AI9">
        <v>0</v>
      </c>
      <c r="AJ9">
        <v>20</v>
      </c>
      <c r="AK9">
        <v>0</v>
      </c>
      <c r="AL9" t="s">
        <v>285</v>
      </c>
    </row>
    <row r="10" spans="1:38">
      <c r="A10" t="s">
        <v>86</v>
      </c>
      <c r="B10" t="s">
        <v>281</v>
      </c>
      <c r="C10">
        <v>1111</v>
      </c>
      <c r="D10">
        <v>2880</v>
      </c>
      <c r="E10">
        <v>36</v>
      </c>
      <c r="F10" t="s">
        <v>282</v>
      </c>
      <c r="G10" t="s">
        <v>282</v>
      </c>
      <c r="H10" t="s">
        <v>282</v>
      </c>
      <c r="I10" t="s">
        <v>282</v>
      </c>
      <c r="J10" t="s">
        <v>282</v>
      </c>
      <c r="K10" t="s">
        <v>282</v>
      </c>
      <c r="L10" t="s">
        <v>282</v>
      </c>
      <c r="M10" t="s">
        <v>282</v>
      </c>
      <c r="N10" t="s">
        <v>282</v>
      </c>
      <c r="O10">
        <v>306.6</v>
      </c>
      <c r="P10">
        <v>549</v>
      </c>
      <c r="Q10">
        <v>24</v>
      </c>
      <c r="R10">
        <v>100</v>
      </c>
      <c r="S10">
        <v>69.4</v>
      </c>
      <c r="T10">
        <v>19.2</v>
      </c>
      <c r="U10">
        <v>4.1</v>
      </c>
      <c r="V10" t="s">
        <v>282</v>
      </c>
      <c r="W10" t="s">
        <v>282</v>
      </c>
      <c r="X10">
        <v>57.9</v>
      </c>
      <c r="Y10">
        <v>35</v>
      </c>
      <c r="Z10">
        <v>9</v>
      </c>
      <c r="AA10" t="s">
        <v>282</v>
      </c>
      <c r="AB10">
        <v>5.2</v>
      </c>
      <c r="AC10" t="s">
        <v>282</v>
      </c>
      <c r="AD10" t="s">
        <v>282</v>
      </c>
      <c r="AE10" t="s">
        <v>282</v>
      </c>
      <c r="AF10" t="s">
        <v>282</v>
      </c>
      <c r="AG10" t="s">
        <v>282</v>
      </c>
      <c r="AH10">
        <v>5.2</v>
      </c>
      <c r="AI10">
        <v>20</v>
      </c>
      <c r="AJ10">
        <v>0</v>
      </c>
      <c r="AK10">
        <v>0</v>
      </c>
      <c r="AL10" t="s">
        <v>283</v>
      </c>
    </row>
    <row r="11" spans="1:38">
      <c r="A11" t="s">
        <v>86</v>
      </c>
      <c r="B11" t="s">
        <v>284</v>
      </c>
      <c r="C11">
        <v>1949.33</v>
      </c>
      <c r="D11">
        <v>1538.06</v>
      </c>
      <c r="E11">
        <v>36</v>
      </c>
      <c r="F11">
        <v>72.4</v>
      </c>
      <c r="G11" t="s">
        <v>282</v>
      </c>
      <c r="H11" t="s">
        <v>282</v>
      </c>
      <c r="I11">
        <v>72.4</v>
      </c>
      <c r="J11" t="s">
        <v>282</v>
      </c>
      <c r="K11" t="s">
        <v>282</v>
      </c>
      <c r="L11">
        <v>72.4</v>
      </c>
      <c r="M11" t="s">
        <v>282</v>
      </c>
      <c r="N11" t="s">
        <v>282</v>
      </c>
      <c r="O11">
        <v>306.6</v>
      </c>
      <c r="P11">
        <v>549</v>
      </c>
      <c r="Q11">
        <v>24</v>
      </c>
      <c r="R11">
        <v>100</v>
      </c>
      <c r="S11">
        <v>72.8</v>
      </c>
      <c r="T11">
        <v>12.5</v>
      </c>
      <c r="U11">
        <v>4.1</v>
      </c>
      <c r="V11" t="s">
        <v>282</v>
      </c>
      <c r="W11" t="s">
        <v>282</v>
      </c>
      <c r="X11">
        <v>57.9</v>
      </c>
      <c r="Y11">
        <v>35</v>
      </c>
      <c r="Z11">
        <v>9</v>
      </c>
      <c r="AA11">
        <v>5.2</v>
      </c>
      <c r="AB11">
        <v>5.2</v>
      </c>
      <c r="AC11" t="s">
        <v>282</v>
      </c>
      <c r="AD11" t="s">
        <v>282</v>
      </c>
      <c r="AE11" t="s">
        <v>282</v>
      </c>
      <c r="AF11" t="s">
        <v>282</v>
      </c>
      <c r="AG11" t="s">
        <v>282</v>
      </c>
      <c r="AH11">
        <v>5.2</v>
      </c>
      <c r="AI11">
        <v>20</v>
      </c>
      <c r="AJ11">
        <v>0</v>
      </c>
      <c r="AK11">
        <v>0</v>
      </c>
      <c r="AL11" t="s">
        <v>287</v>
      </c>
    </row>
    <row r="12" spans="1:38">
      <c r="A12" t="s">
        <v>97</v>
      </c>
      <c r="B12" t="s">
        <v>281</v>
      </c>
      <c r="C12">
        <v>1196.3</v>
      </c>
      <c r="D12">
        <v>2806.3</v>
      </c>
      <c r="E12">
        <v>36</v>
      </c>
      <c r="F12" t="s">
        <v>282</v>
      </c>
      <c r="G12" t="s">
        <v>282</v>
      </c>
      <c r="H12" t="s">
        <v>282</v>
      </c>
      <c r="I12" t="s">
        <v>282</v>
      </c>
      <c r="J12" t="s">
        <v>282</v>
      </c>
      <c r="K12" t="s">
        <v>282</v>
      </c>
      <c r="L12" t="s">
        <v>282</v>
      </c>
      <c r="M12" t="s">
        <v>282</v>
      </c>
      <c r="N12" t="s">
        <v>282</v>
      </c>
      <c r="O12">
        <v>306.6</v>
      </c>
      <c r="P12">
        <v>549</v>
      </c>
      <c r="Q12">
        <v>24</v>
      </c>
      <c r="R12">
        <v>100</v>
      </c>
      <c r="S12">
        <v>79.65</v>
      </c>
      <c r="T12">
        <v>12.1</v>
      </c>
      <c r="U12">
        <v>8.7</v>
      </c>
      <c r="V12" t="s">
        <v>282</v>
      </c>
      <c r="W12">
        <v>2.8</v>
      </c>
      <c r="X12">
        <v>50</v>
      </c>
      <c r="Y12">
        <v>35</v>
      </c>
      <c r="Z12">
        <v>9</v>
      </c>
      <c r="AA12">
        <v>2.6</v>
      </c>
      <c r="AB12">
        <v>5.2</v>
      </c>
      <c r="AC12" t="s">
        <v>282</v>
      </c>
      <c r="AD12" t="s">
        <v>282</v>
      </c>
      <c r="AE12" t="s">
        <v>282</v>
      </c>
      <c r="AF12" t="s">
        <v>282</v>
      </c>
      <c r="AG12">
        <v>5.2</v>
      </c>
      <c r="AH12" t="s">
        <v>282</v>
      </c>
      <c r="AI12">
        <v>20</v>
      </c>
      <c r="AJ12">
        <v>0</v>
      </c>
      <c r="AK12">
        <v>0</v>
      </c>
      <c r="AL12" t="s">
        <v>288</v>
      </c>
    </row>
    <row r="13" spans="1:38">
      <c r="A13" t="s">
        <v>97</v>
      </c>
      <c r="B13" t="s">
        <v>284</v>
      </c>
      <c r="C13">
        <v>2034.6</v>
      </c>
      <c r="D13">
        <v>1533.8</v>
      </c>
      <c r="E13">
        <v>36</v>
      </c>
      <c r="F13">
        <v>72.4</v>
      </c>
      <c r="G13" t="s">
        <v>282</v>
      </c>
      <c r="H13" t="s">
        <v>282</v>
      </c>
      <c r="I13">
        <v>72.4</v>
      </c>
      <c r="J13" t="s">
        <v>282</v>
      </c>
      <c r="K13" t="s">
        <v>282</v>
      </c>
      <c r="L13">
        <v>72.4</v>
      </c>
      <c r="M13" t="s">
        <v>282</v>
      </c>
      <c r="N13" t="s">
        <v>282</v>
      </c>
      <c r="O13">
        <v>306.6</v>
      </c>
      <c r="P13">
        <v>549</v>
      </c>
      <c r="Q13">
        <v>24</v>
      </c>
      <c r="R13">
        <v>100</v>
      </c>
      <c r="S13">
        <v>77.9</v>
      </c>
      <c r="T13">
        <v>10.1</v>
      </c>
      <c r="U13">
        <v>8.7</v>
      </c>
      <c r="V13" t="s">
        <v>282</v>
      </c>
      <c r="W13">
        <v>2.8</v>
      </c>
      <c r="X13">
        <v>50</v>
      </c>
      <c r="Y13">
        <v>35</v>
      </c>
      <c r="Z13">
        <v>9</v>
      </c>
      <c r="AA13">
        <v>5.2</v>
      </c>
      <c r="AB13">
        <v>5.2</v>
      </c>
      <c r="AC13" t="s">
        <v>282</v>
      </c>
      <c r="AD13" t="s">
        <v>282</v>
      </c>
      <c r="AE13" t="s">
        <v>282</v>
      </c>
      <c r="AF13" t="s">
        <v>282</v>
      </c>
      <c r="AG13">
        <v>5.2</v>
      </c>
      <c r="AH13" t="s">
        <v>282</v>
      </c>
      <c r="AI13">
        <v>20</v>
      </c>
      <c r="AJ13">
        <v>0</v>
      </c>
      <c r="AK13">
        <v>0</v>
      </c>
      <c r="AL13" t="s">
        <v>288</v>
      </c>
    </row>
  </sheetData>
  <pageMargins left="0.75" right="0.75" top="1" bottom="1" header="0.5" footer="0.5"/>
  <headerFooter/>
  <ignoredErrors>
    <ignoredError sqref="A1:AL1 A2:AK3 A4:AL4 A5:AK7 A8:AL8 AH12:AK13 A12:AF13 A9:AK1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64"/>
  <sheetViews>
    <sheetView workbookViewId="0">
      <selection activeCell="A1" sqref="A1"/>
    </sheetView>
  </sheetViews>
  <sheetFormatPr defaultColWidth="9" defaultRowHeight="15.6"/>
  <sheetData>
    <row r="1" spans="1:16">
      <c r="A1" t="s">
        <v>289</v>
      </c>
      <c r="B1" t="s">
        <v>103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</row>
    <row r="2" spans="1:16">
      <c r="A2" t="s">
        <v>64</v>
      </c>
      <c r="B2" t="s">
        <v>164</v>
      </c>
      <c r="C2">
        <v>2</v>
      </c>
      <c r="E2">
        <v>1</v>
      </c>
      <c r="H2" t="s">
        <v>304</v>
      </c>
      <c r="I2" t="s">
        <v>305</v>
      </c>
      <c r="J2" t="s">
        <v>38</v>
      </c>
      <c r="K2" t="s">
        <v>38</v>
      </c>
      <c r="L2" t="s">
        <v>38</v>
      </c>
      <c r="M2" t="s">
        <v>306</v>
      </c>
      <c r="O2">
        <v>33</v>
      </c>
      <c r="P2">
        <v>44685.15</v>
      </c>
    </row>
    <row r="3" spans="1:16">
      <c r="B3" t="s">
        <v>172</v>
      </c>
      <c r="C3">
        <v>1</v>
      </c>
      <c r="E3">
        <v>1</v>
      </c>
      <c r="F3">
        <v>5</v>
      </c>
      <c r="H3" t="s">
        <v>307</v>
      </c>
      <c r="I3" t="s">
        <v>38</v>
      </c>
      <c r="J3" t="s">
        <v>38</v>
      </c>
      <c r="K3" t="s">
        <v>38</v>
      </c>
      <c r="L3" t="s">
        <v>38</v>
      </c>
      <c r="M3" t="s">
        <v>306</v>
      </c>
    </row>
    <row r="4" spans="1:16">
      <c r="B4" t="s">
        <v>166</v>
      </c>
      <c r="C4">
        <v>1</v>
      </c>
      <c r="E4">
        <v>2</v>
      </c>
      <c r="F4">
        <v>5</v>
      </c>
      <c r="H4" t="s">
        <v>308</v>
      </c>
      <c r="I4" t="s">
        <v>38</v>
      </c>
      <c r="J4" t="s">
        <v>38</v>
      </c>
      <c r="K4" t="s">
        <v>38</v>
      </c>
      <c r="L4" t="s">
        <v>38</v>
      </c>
      <c r="M4" t="s">
        <v>306</v>
      </c>
    </row>
    <row r="5" spans="1:16">
      <c r="B5" t="s">
        <v>138</v>
      </c>
      <c r="C5">
        <v>1</v>
      </c>
      <c r="E5">
        <v>3</v>
      </c>
      <c r="F5">
        <v>5</v>
      </c>
      <c r="H5" t="s">
        <v>38</v>
      </c>
      <c r="I5" t="s">
        <v>38</v>
      </c>
      <c r="J5" t="s">
        <v>38</v>
      </c>
      <c r="K5" t="s">
        <v>38</v>
      </c>
      <c r="L5" t="s">
        <v>38</v>
      </c>
      <c r="M5" t="s">
        <v>306</v>
      </c>
    </row>
    <row r="6" spans="1:16">
      <c r="B6" t="s">
        <v>167</v>
      </c>
      <c r="C6">
        <v>1.5</v>
      </c>
      <c r="E6">
        <v>3</v>
      </c>
      <c r="F6">
        <v>5</v>
      </c>
      <c r="H6" t="s">
        <v>304</v>
      </c>
      <c r="I6" t="s">
        <v>305</v>
      </c>
      <c r="J6" t="s">
        <v>308</v>
      </c>
      <c r="K6" t="s">
        <v>38</v>
      </c>
      <c r="L6" t="s">
        <v>38</v>
      </c>
      <c r="M6" t="s">
        <v>306</v>
      </c>
    </row>
    <row r="7" spans="1:16">
      <c r="B7" t="s">
        <v>141</v>
      </c>
      <c r="C7">
        <v>3</v>
      </c>
      <c r="E7">
        <v>3</v>
      </c>
      <c r="F7">
        <v>5</v>
      </c>
      <c r="H7" t="s">
        <v>38</v>
      </c>
      <c r="I7" t="s">
        <v>38</v>
      </c>
      <c r="J7" t="s">
        <v>38</v>
      </c>
      <c r="K7" t="s">
        <v>38</v>
      </c>
      <c r="L7" t="s">
        <v>38</v>
      </c>
      <c r="M7" t="s">
        <v>306</v>
      </c>
    </row>
    <row r="8" spans="1:16">
      <c r="B8" t="s">
        <v>168</v>
      </c>
      <c r="C8">
        <v>1</v>
      </c>
      <c r="E8">
        <v>4</v>
      </c>
      <c r="F8">
        <v>5</v>
      </c>
      <c r="H8" t="s">
        <v>309</v>
      </c>
      <c r="I8" t="s">
        <v>38</v>
      </c>
      <c r="J8" t="s">
        <v>38</v>
      </c>
      <c r="K8" t="s">
        <v>38</v>
      </c>
      <c r="L8" t="s">
        <v>38</v>
      </c>
      <c r="M8" t="s">
        <v>306</v>
      </c>
    </row>
    <row r="9" spans="1:16">
      <c r="B9" t="s">
        <v>143</v>
      </c>
      <c r="C9">
        <v>2</v>
      </c>
      <c r="E9">
        <v>4</v>
      </c>
      <c r="F9">
        <v>5</v>
      </c>
      <c r="H9" t="s">
        <v>309</v>
      </c>
      <c r="I9" t="s">
        <v>38</v>
      </c>
      <c r="J9" t="s">
        <v>38</v>
      </c>
      <c r="K9" t="s">
        <v>38</v>
      </c>
      <c r="L9" t="s">
        <v>38</v>
      </c>
      <c r="M9" t="s">
        <v>306</v>
      </c>
    </row>
    <row r="10" spans="1:16">
      <c r="B10" t="s">
        <v>145</v>
      </c>
      <c r="C10">
        <v>2</v>
      </c>
      <c r="E10">
        <v>4</v>
      </c>
      <c r="H10" t="s">
        <v>309</v>
      </c>
      <c r="I10" t="s">
        <v>38</v>
      </c>
      <c r="J10" t="s">
        <v>38</v>
      </c>
      <c r="K10" t="s">
        <v>38</v>
      </c>
      <c r="L10" t="s">
        <v>38</v>
      </c>
    </row>
    <row r="11" spans="1:16">
      <c r="B11" t="s">
        <v>167</v>
      </c>
      <c r="C11">
        <v>2</v>
      </c>
      <c r="E11">
        <v>4</v>
      </c>
      <c r="H11" t="s">
        <v>309</v>
      </c>
      <c r="I11" t="s">
        <v>304</v>
      </c>
      <c r="J11" t="s">
        <v>305</v>
      </c>
      <c r="K11" t="s">
        <v>308</v>
      </c>
      <c r="L11" t="s">
        <v>38</v>
      </c>
    </row>
    <row r="12" spans="1:16">
      <c r="B12" t="s">
        <v>141</v>
      </c>
      <c r="C12">
        <v>2</v>
      </c>
      <c r="E12">
        <v>4</v>
      </c>
      <c r="H12" t="s">
        <v>309</v>
      </c>
      <c r="I12" t="s">
        <v>38</v>
      </c>
      <c r="J12" t="s">
        <v>38</v>
      </c>
      <c r="K12" t="s">
        <v>38</v>
      </c>
      <c r="L12" t="s">
        <v>38</v>
      </c>
    </row>
    <row r="13" spans="1:16">
      <c r="B13" t="s">
        <v>143</v>
      </c>
      <c r="C13">
        <v>2</v>
      </c>
      <c r="E13">
        <v>5</v>
      </c>
      <c r="H13" t="s">
        <v>309</v>
      </c>
      <c r="I13" t="s">
        <v>38</v>
      </c>
      <c r="J13" t="s">
        <v>38</v>
      </c>
      <c r="K13" t="s">
        <v>38</v>
      </c>
      <c r="L13" t="s">
        <v>38</v>
      </c>
    </row>
    <row r="14" spans="1:16">
      <c r="B14" t="s">
        <v>145</v>
      </c>
      <c r="C14">
        <v>3</v>
      </c>
      <c r="E14">
        <v>5</v>
      </c>
      <c r="H14" t="s">
        <v>309</v>
      </c>
      <c r="I14" t="s">
        <v>38</v>
      </c>
      <c r="J14" t="s">
        <v>38</v>
      </c>
      <c r="K14" t="s">
        <v>38</v>
      </c>
      <c r="L14" t="s">
        <v>38</v>
      </c>
    </row>
    <row r="15" spans="1:16">
      <c r="B15" t="s">
        <v>144</v>
      </c>
      <c r="C15">
        <v>1</v>
      </c>
      <c r="E15">
        <v>5</v>
      </c>
      <c r="H15" t="s">
        <v>309</v>
      </c>
      <c r="I15" t="s">
        <v>38</v>
      </c>
      <c r="J15" t="s">
        <v>38</v>
      </c>
      <c r="K15" t="s">
        <v>38</v>
      </c>
      <c r="L15" t="s">
        <v>38</v>
      </c>
    </row>
    <row r="16" spans="1:16">
      <c r="B16" t="s">
        <v>165</v>
      </c>
      <c r="C16">
        <v>1</v>
      </c>
      <c r="E16">
        <v>5</v>
      </c>
      <c r="H16" t="s">
        <v>309</v>
      </c>
      <c r="I16" t="s">
        <v>38</v>
      </c>
      <c r="J16" t="s">
        <v>38</v>
      </c>
      <c r="K16" t="s">
        <v>38</v>
      </c>
      <c r="L16" t="s">
        <v>38</v>
      </c>
      <c r="M16" t="s">
        <v>306</v>
      </c>
    </row>
    <row r="17" spans="2:13">
      <c r="B17" t="s">
        <v>131</v>
      </c>
      <c r="C17">
        <v>1</v>
      </c>
      <c r="E17">
        <v>5</v>
      </c>
      <c r="H17" t="s">
        <v>309</v>
      </c>
      <c r="I17" t="s">
        <v>38</v>
      </c>
      <c r="J17" t="s">
        <v>38</v>
      </c>
      <c r="K17" t="s">
        <v>38</v>
      </c>
      <c r="L17" t="s">
        <v>38</v>
      </c>
      <c r="M17" t="s">
        <v>306</v>
      </c>
    </row>
    <row r="18" spans="2:13">
      <c r="B18" t="s">
        <v>141</v>
      </c>
      <c r="C18">
        <v>6</v>
      </c>
      <c r="E18">
        <v>5</v>
      </c>
      <c r="H18" t="s">
        <v>309</v>
      </c>
      <c r="I18" t="s">
        <v>38</v>
      </c>
      <c r="J18" t="s">
        <v>38</v>
      </c>
      <c r="K18" t="s">
        <v>38</v>
      </c>
      <c r="L18" t="s">
        <v>38</v>
      </c>
      <c r="M18" t="s">
        <v>306</v>
      </c>
    </row>
    <row r="19" spans="2:13">
      <c r="B19" t="s">
        <v>167</v>
      </c>
      <c r="C19">
        <v>5</v>
      </c>
      <c r="E19">
        <v>5</v>
      </c>
      <c r="H19" t="s">
        <v>304</v>
      </c>
      <c r="I19" t="s">
        <v>305</v>
      </c>
      <c r="J19" t="s">
        <v>309</v>
      </c>
      <c r="K19" t="s">
        <v>308</v>
      </c>
      <c r="L19" t="s">
        <v>38</v>
      </c>
      <c r="M19" t="s">
        <v>306</v>
      </c>
    </row>
    <row r="20" spans="2:13">
      <c r="B20" t="s">
        <v>164</v>
      </c>
      <c r="C20">
        <v>1</v>
      </c>
      <c r="E20">
        <v>5</v>
      </c>
      <c r="H20" t="s">
        <v>304</v>
      </c>
      <c r="I20" t="s">
        <v>305</v>
      </c>
      <c r="J20" t="s">
        <v>309</v>
      </c>
      <c r="K20" t="s">
        <v>308</v>
      </c>
      <c r="L20" t="s">
        <v>38</v>
      </c>
      <c r="M20" t="s">
        <v>306</v>
      </c>
    </row>
    <row r="21" spans="2:13">
      <c r="B21" t="s">
        <v>172</v>
      </c>
      <c r="C21">
        <v>1</v>
      </c>
      <c r="E21">
        <v>5</v>
      </c>
      <c r="F21">
        <v>5</v>
      </c>
      <c r="H21" t="s">
        <v>309</v>
      </c>
      <c r="I21" t="s">
        <v>308</v>
      </c>
      <c r="J21" t="s">
        <v>38</v>
      </c>
      <c r="K21" t="s">
        <v>38</v>
      </c>
      <c r="L21" t="s">
        <v>38</v>
      </c>
    </row>
    <row r="22" spans="2:13">
      <c r="B22" t="s">
        <v>166</v>
      </c>
      <c r="C22">
        <v>1</v>
      </c>
      <c r="E22">
        <v>5</v>
      </c>
      <c r="F22">
        <v>5</v>
      </c>
      <c r="H22" t="s">
        <v>309</v>
      </c>
      <c r="I22" t="s">
        <v>308</v>
      </c>
      <c r="J22" t="s">
        <v>38</v>
      </c>
      <c r="K22" t="s">
        <v>38</v>
      </c>
      <c r="L22" t="s">
        <v>38</v>
      </c>
    </row>
    <row r="23" spans="2:13">
      <c r="B23" t="s">
        <v>171</v>
      </c>
      <c r="C23">
        <v>1</v>
      </c>
      <c r="E23">
        <v>5</v>
      </c>
      <c r="F23">
        <v>5</v>
      </c>
      <c r="H23" t="s">
        <v>304</v>
      </c>
      <c r="I23" t="s">
        <v>305</v>
      </c>
      <c r="J23" t="s">
        <v>309</v>
      </c>
      <c r="K23" t="s">
        <v>308</v>
      </c>
      <c r="L23" t="s">
        <v>38</v>
      </c>
    </row>
    <row r="24" spans="2:13">
      <c r="B24" t="s">
        <v>167</v>
      </c>
      <c r="C24">
        <v>2</v>
      </c>
      <c r="E24">
        <v>5</v>
      </c>
      <c r="F24">
        <v>5</v>
      </c>
      <c r="H24" t="s">
        <v>304</v>
      </c>
      <c r="I24" t="s">
        <v>305</v>
      </c>
      <c r="J24" t="s">
        <v>309</v>
      </c>
      <c r="K24" t="s">
        <v>308</v>
      </c>
      <c r="L24" t="s">
        <v>38</v>
      </c>
    </row>
    <row r="25" spans="2:13">
      <c r="B25" t="s">
        <v>141</v>
      </c>
      <c r="C25">
        <v>11</v>
      </c>
      <c r="E25">
        <v>5</v>
      </c>
      <c r="F25">
        <v>5</v>
      </c>
      <c r="H25" t="s">
        <v>309</v>
      </c>
      <c r="I25" t="s">
        <v>38</v>
      </c>
      <c r="J25" t="s">
        <v>38</v>
      </c>
      <c r="K25" t="s">
        <v>38</v>
      </c>
      <c r="L25" t="s">
        <v>38</v>
      </c>
    </row>
    <row r="26" spans="2:13">
      <c r="B26" t="s">
        <v>143</v>
      </c>
      <c r="C26">
        <v>4</v>
      </c>
      <c r="E26">
        <v>5</v>
      </c>
      <c r="F26">
        <v>5</v>
      </c>
      <c r="G26">
        <v>1</v>
      </c>
      <c r="H26" t="s">
        <v>310</v>
      </c>
      <c r="I26" t="s">
        <v>38</v>
      </c>
      <c r="J26" t="s">
        <v>38</v>
      </c>
      <c r="K26" t="s">
        <v>38</v>
      </c>
      <c r="L26" t="s">
        <v>38</v>
      </c>
    </row>
    <row r="27" spans="2:13">
      <c r="B27" t="s">
        <v>144</v>
      </c>
      <c r="C27">
        <v>1</v>
      </c>
      <c r="E27">
        <v>5</v>
      </c>
      <c r="F27">
        <v>5</v>
      </c>
      <c r="G27">
        <v>1</v>
      </c>
      <c r="H27" t="s">
        <v>310</v>
      </c>
      <c r="I27" t="s">
        <v>38</v>
      </c>
      <c r="J27" t="s">
        <v>38</v>
      </c>
      <c r="K27" t="s">
        <v>38</v>
      </c>
      <c r="L27" t="s">
        <v>38</v>
      </c>
    </row>
    <row r="28" spans="2:13">
      <c r="B28" t="s">
        <v>145</v>
      </c>
      <c r="C28">
        <v>5</v>
      </c>
      <c r="E28">
        <v>5</v>
      </c>
      <c r="G28">
        <v>1</v>
      </c>
      <c r="H28" t="s">
        <v>310</v>
      </c>
      <c r="I28" t="s">
        <v>38</v>
      </c>
      <c r="J28" t="s">
        <v>38</v>
      </c>
      <c r="K28" t="s">
        <v>38</v>
      </c>
      <c r="L28" t="s">
        <v>38</v>
      </c>
    </row>
    <row r="29" spans="2:13">
      <c r="B29" t="s">
        <v>131</v>
      </c>
      <c r="C29">
        <v>1</v>
      </c>
      <c r="E29">
        <v>5</v>
      </c>
      <c r="G29">
        <v>1</v>
      </c>
      <c r="H29" t="s">
        <v>310</v>
      </c>
      <c r="I29" t="s">
        <v>38</v>
      </c>
      <c r="J29" t="s">
        <v>38</v>
      </c>
      <c r="K29" t="s">
        <v>38</v>
      </c>
      <c r="L29" t="s">
        <v>38</v>
      </c>
    </row>
    <row r="30" spans="2:13">
      <c r="B30" t="s">
        <v>165</v>
      </c>
      <c r="C30">
        <v>1</v>
      </c>
      <c r="E30">
        <v>5</v>
      </c>
      <c r="G30">
        <v>1</v>
      </c>
      <c r="H30" t="s">
        <v>310</v>
      </c>
      <c r="I30" t="s">
        <v>38</v>
      </c>
      <c r="J30" t="s">
        <v>38</v>
      </c>
      <c r="K30" t="s">
        <v>38</v>
      </c>
      <c r="L30" t="s">
        <v>38</v>
      </c>
    </row>
    <row r="31" spans="2:13">
      <c r="B31" t="s">
        <v>167</v>
      </c>
      <c r="C31">
        <v>7</v>
      </c>
      <c r="E31">
        <v>5</v>
      </c>
      <c r="G31">
        <v>1</v>
      </c>
      <c r="H31" t="s">
        <v>304</v>
      </c>
      <c r="I31" t="s">
        <v>305</v>
      </c>
      <c r="J31" t="s">
        <v>310</v>
      </c>
      <c r="K31" t="s">
        <v>308</v>
      </c>
      <c r="L31" t="s">
        <v>38</v>
      </c>
    </row>
    <row r="32" spans="2:13">
      <c r="B32" t="s">
        <v>164</v>
      </c>
      <c r="C32">
        <v>2</v>
      </c>
      <c r="D32">
        <v>1</v>
      </c>
      <c r="E32">
        <v>5</v>
      </c>
      <c r="F32">
        <v>5</v>
      </c>
      <c r="G32">
        <v>1</v>
      </c>
      <c r="H32" t="s">
        <v>304</v>
      </c>
      <c r="I32" t="s">
        <v>305</v>
      </c>
      <c r="J32" t="s">
        <v>310</v>
      </c>
      <c r="K32" t="s">
        <v>308</v>
      </c>
      <c r="L32" t="s">
        <v>38</v>
      </c>
      <c r="M32" t="s">
        <v>306</v>
      </c>
    </row>
    <row r="33" spans="2:13">
      <c r="B33" t="s">
        <v>166</v>
      </c>
      <c r="C33">
        <v>1</v>
      </c>
      <c r="D33">
        <v>1</v>
      </c>
      <c r="E33">
        <v>5</v>
      </c>
      <c r="F33">
        <v>5</v>
      </c>
      <c r="G33">
        <v>1</v>
      </c>
      <c r="H33" t="s">
        <v>310</v>
      </c>
      <c r="I33" t="s">
        <v>308</v>
      </c>
      <c r="J33" t="s">
        <v>38</v>
      </c>
      <c r="K33" t="s">
        <v>38</v>
      </c>
      <c r="L33" t="s">
        <v>38</v>
      </c>
      <c r="M33" t="s">
        <v>306</v>
      </c>
    </row>
    <row r="34" spans="2:13">
      <c r="B34" t="s">
        <v>168</v>
      </c>
      <c r="C34">
        <v>1</v>
      </c>
      <c r="D34">
        <v>1</v>
      </c>
      <c r="E34">
        <v>5</v>
      </c>
      <c r="F34">
        <v>5</v>
      </c>
      <c r="G34">
        <v>1</v>
      </c>
      <c r="H34" t="s">
        <v>310</v>
      </c>
      <c r="I34" t="s">
        <v>38</v>
      </c>
      <c r="J34" t="s">
        <v>38</v>
      </c>
      <c r="K34" t="s">
        <v>38</v>
      </c>
      <c r="L34" t="s">
        <v>38</v>
      </c>
      <c r="M34" t="s">
        <v>306</v>
      </c>
    </row>
    <row r="35" spans="2:13">
      <c r="B35" t="s">
        <v>143</v>
      </c>
      <c r="C35">
        <v>4</v>
      </c>
      <c r="D35">
        <v>1</v>
      </c>
      <c r="E35">
        <v>5</v>
      </c>
      <c r="F35">
        <v>5</v>
      </c>
      <c r="G35">
        <v>1</v>
      </c>
      <c r="H35" t="s">
        <v>310</v>
      </c>
      <c r="I35" t="s">
        <v>38</v>
      </c>
      <c r="J35" t="s">
        <v>38</v>
      </c>
      <c r="K35" t="s">
        <v>38</v>
      </c>
      <c r="L35" t="s">
        <v>38</v>
      </c>
      <c r="M35" t="s">
        <v>306</v>
      </c>
    </row>
    <row r="36" spans="2:13">
      <c r="B36" t="s">
        <v>144</v>
      </c>
      <c r="C36">
        <v>1</v>
      </c>
      <c r="D36">
        <v>1</v>
      </c>
      <c r="E36">
        <v>5</v>
      </c>
      <c r="F36">
        <v>5</v>
      </c>
      <c r="G36">
        <v>1</v>
      </c>
      <c r="H36" t="s">
        <v>310</v>
      </c>
      <c r="I36" t="s">
        <v>38</v>
      </c>
      <c r="J36" t="s">
        <v>38</v>
      </c>
      <c r="K36" t="s">
        <v>38</v>
      </c>
      <c r="L36" t="s">
        <v>38</v>
      </c>
      <c r="M36" t="s">
        <v>306</v>
      </c>
    </row>
    <row r="37" spans="2:13">
      <c r="B37" t="s">
        <v>145</v>
      </c>
      <c r="C37">
        <v>5</v>
      </c>
      <c r="D37">
        <v>1</v>
      </c>
      <c r="E37">
        <v>5</v>
      </c>
      <c r="F37">
        <v>5</v>
      </c>
      <c r="G37">
        <v>1</v>
      </c>
      <c r="H37" t="s">
        <v>310</v>
      </c>
      <c r="I37" t="s">
        <v>38</v>
      </c>
      <c r="J37" t="s">
        <v>38</v>
      </c>
      <c r="K37" t="s">
        <v>38</v>
      </c>
      <c r="L37" t="s">
        <v>38</v>
      </c>
      <c r="M37" t="s">
        <v>306</v>
      </c>
    </row>
    <row r="38" spans="2:13">
      <c r="B38" t="s">
        <v>169</v>
      </c>
      <c r="C38">
        <v>1</v>
      </c>
      <c r="D38">
        <v>1</v>
      </c>
      <c r="E38">
        <v>5</v>
      </c>
      <c r="F38">
        <v>5</v>
      </c>
      <c r="G38">
        <v>1</v>
      </c>
      <c r="H38" t="s">
        <v>310</v>
      </c>
      <c r="I38" t="s">
        <v>311</v>
      </c>
      <c r="J38" t="s">
        <v>38</v>
      </c>
      <c r="K38" t="s">
        <v>38</v>
      </c>
      <c r="L38" t="s">
        <v>38</v>
      </c>
    </row>
    <row r="39" spans="2:13">
      <c r="B39" t="s">
        <v>141</v>
      </c>
      <c r="C39">
        <v>28</v>
      </c>
      <c r="D39">
        <v>1</v>
      </c>
      <c r="E39">
        <v>5</v>
      </c>
      <c r="F39">
        <v>5</v>
      </c>
      <c r="G39">
        <v>1</v>
      </c>
      <c r="H39" t="s">
        <v>310</v>
      </c>
      <c r="I39" t="s">
        <v>38</v>
      </c>
      <c r="J39" t="s">
        <v>38</v>
      </c>
      <c r="K39" t="s">
        <v>38</v>
      </c>
      <c r="L39" t="s">
        <v>38</v>
      </c>
    </row>
    <row r="40" spans="2:13">
      <c r="B40" t="s">
        <v>167</v>
      </c>
      <c r="C40">
        <v>11</v>
      </c>
      <c r="D40">
        <v>1</v>
      </c>
      <c r="E40">
        <v>5</v>
      </c>
      <c r="F40">
        <v>5</v>
      </c>
      <c r="G40">
        <v>1</v>
      </c>
      <c r="H40" t="s">
        <v>304</v>
      </c>
      <c r="I40" t="s">
        <v>305</v>
      </c>
      <c r="J40" t="s">
        <v>310</v>
      </c>
      <c r="K40" t="s">
        <v>308</v>
      </c>
      <c r="L40" t="s">
        <v>38</v>
      </c>
    </row>
    <row r="41" spans="2:13">
      <c r="B41" t="s">
        <v>131</v>
      </c>
      <c r="C41">
        <v>1</v>
      </c>
      <c r="D41">
        <v>1</v>
      </c>
      <c r="E41">
        <v>5</v>
      </c>
      <c r="F41">
        <v>5</v>
      </c>
      <c r="G41">
        <v>1</v>
      </c>
      <c r="H41" t="s">
        <v>310</v>
      </c>
      <c r="I41" t="s">
        <v>38</v>
      </c>
      <c r="J41" t="s">
        <v>38</v>
      </c>
      <c r="K41" t="s">
        <v>38</v>
      </c>
      <c r="L41" t="s">
        <v>38</v>
      </c>
    </row>
    <row r="42" spans="2:13">
      <c r="B42" t="s">
        <v>164</v>
      </c>
      <c r="C42">
        <v>1</v>
      </c>
      <c r="E42">
        <v>5</v>
      </c>
      <c r="F42">
        <v>5</v>
      </c>
      <c r="H42" t="s">
        <v>304</v>
      </c>
      <c r="I42" t="s">
        <v>305</v>
      </c>
      <c r="J42" t="s">
        <v>309</v>
      </c>
      <c r="K42" t="s">
        <v>308</v>
      </c>
      <c r="L42" t="s">
        <v>38</v>
      </c>
    </row>
    <row r="43" spans="2:13">
      <c r="B43" t="s">
        <v>141</v>
      </c>
      <c r="C43">
        <v>2</v>
      </c>
      <c r="E43">
        <v>5</v>
      </c>
      <c r="F43">
        <v>5</v>
      </c>
      <c r="H43" t="s">
        <v>309</v>
      </c>
      <c r="I43" t="s">
        <v>38</v>
      </c>
      <c r="J43" t="s">
        <v>38</v>
      </c>
      <c r="K43" t="s">
        <v>38</v>
      </c>
      <c r="L43" t="s">
        <v>38</v>
      </c>
    </row>
    <row r="44" spans="2:13">
      <c r="B44" t="s">
        <v>127</v>
      </c>
      <c r="C44">
        <v>14</v>
      </c>
      <c r="E44">
        <v>5</v>
      </c>
      <c r="H44" t="s">
        <v>310</v>
      </c>
      <c r="I44" t="s">
        <v>38</v>
      </c>
      <c r="J44" t="s">
        <v>38</v>
      </c>
      <c r="K44" t="s">
        <v>38</v>
      </c>
      <c r="L44" t="s">
        <v>38</v>
      </c>
    </row>
    <row r="45" spans="2:13">
      <c r="B45" t="s">
        <v>128</v>
      </c>
      <c r="C45">
        <v>14</v>
      </c>
      <c r="E45">
        <v>5</v>
      </c>
      <c r="H45" t="s">
        <v>310</v>
      </c>
      <c r="I45" t="s">
        <v>38</v>
      </c>
      <c r="J45" t="s">
        <v>38</v>
      </c>
      <c r="K45" t="s">
        <v>38</v>
      </c>
      <c r="L45" t="s">
        <v>38</v>
      </c>
    </row>
    <row r="46" spans="2:13">
      <c r="B46" t="s">
        <v>127</v>
      </c>
      <c r="C46">
        <v>6.5</v>
      </c>
      <c r="E46">
        <v>5</v>
      </c>
      <c r="H46" t="s">
        <v>38</v>
      </c>
      <c r="I46" t="s">
        <v>38</v>
      </c>
      <c r="J46" t="s">
        <v>38</v>
      </c>
      <c r="K46" t="s">
        <v>38</v>
      </c>
      <c r="L46" t="s">
        <v>38</v>
      </c>
    </row>
    <row r="47" spans="2:13">
      <c r="B47" t="s">
        <v>128</v>
      </c>
      <c r="C47">
        <v>6.5</v>
      </c>
      <c r="E47">
        <v>5</v>
      </c>
      <c r="H47" t="s">
        <v>38</v>
      </c>
      <c r="I47" t="s">
        <v>38</v>
      </c>
      <c r="J47" t="s">
        <v>38</v>
      </c>
      <c r="K47" t="s">
        <v>38</v>
      </c>
      <c r="L47" t="s">
        <v>38</v>
      </c>
    </row>
    <row r="48" spans="2:13">
      <c r="B48" t="s">
        <v>127</v>
      </c>
      <c r="C48">
        <v>12.5</v>
      </c>
      <c r="E48">
        <v>5</v>
      </c>
      <c r="H48" t="s">
        <v>309</v>
      </c>
      <c r="I48" t="s">
        <v>38</v>
      </c>
      <c r="J48" t="s">
        <v>38</v>
      </c>
      <c r="K48" t="s">
        <v>38</v>
      </c>
      <c r="L48" t="s">
        <v>38</v>
      </c>
    </row>
    <row r="49" spans="2:12">
      <c r="B49" t="s">
        <v>128</v>
      </c>
      <c r="C49">
        <v>12.5</v>
      </c>
      <c r="E49">
        <v>5</v>
      </c>
      <c r="H49" t="s">
        <v>309</v>
      </c>
      <c r="I49" t="s">
        <v>38</v>
      </c>
      <c r="J49" t="s">
        <v>38</v>
      </c>
      <c r="K49" t="s">
        <v>38</v>
      </c>
      <c r="L49" t="s">
        <v>38</v>
      </c>
    </row>
    <row r="50" spans="2:12">
      <c r="B50" t="s">
        <v>63</v>
      </c>
      <c r="C50">
        <v>5</v>
      </c>
      <c r="E50">
        <v>5</v>
      </c>
      <c r="H50" t="s">
        <v>309</v>
      </c>
      <c r="I50" t="s">
        <v>38</v>
      </c>
      <c r="J50" t="s">
        <v>38</v>
      </c>
      <c r="K50" t="s">
        <v>38</v>
      </c>
      <c r="L50" t="s">
        <v>38</v>
      </c>
    </row>
    <row r="51" spans="2:12">
      <c r="B51" t="s">
        <v>38</v>
      </c>
      <c r="C51">
        <v>1</v>
      </c>
      <c r="H51" t="s">
        <v>38</v>
      </c>
      <c r="I51" t="s">
        <v>38</v>
      </c>
      <c r="J51" t="s">
        <v>38</v>
      </c>
      <c r="K51" t="s">
        <v>38</v>
      </c>
      <c r="L51" t="s">
        <v>38</v>
      </c>
    </row>
    <row r="52" spans="2:12">
      <c r="B52" t="s">
        <v>38</v>
      </c>
      <c r="C52">
        <v>1</v>
      </c>
      <c r="H52" t="s">
        <v>38</v>
      </c>
      <c r="I52" t="s">
        <v>38</v>
      </c>
      <c r="J52" t="s">
        <v>38</v>
      </c>
      <c r="K52" t="s">
        <v>38</v>
      </c>
      <c r="L52" t="s">
        <v>38</v>
      </c>
    </row>
    <row r="53" spans="2:12">
      <c r="B53" t="s">
        <v>38</v>
      </c>
      <c r="C53">
        <v>1</v>
      </c>
      <c r="H53" t="s">
        <v>38</v>
      </c>
      <c r="I53" t="s">
        <v>38</v>
      </c>
      <c r="J53" t="s">
        <v>38</v>
      </c>
      <c r="K53" t="s">
        <v>38</v>
      </c>
      <c r="L53" t="s">
        <v>38</v>
      </c>
    </row>
    <row r="54" spans="2:12">
      <c r="B54" t="s">
        <v>38</v>
      </c>
      <c r="C54">
        <v>1</v>
      </c>
      <c r="H54" t="s">
        <v>38</v>
      </c>
      <c r="I54" t="s">
        <v>38</v>
      </c>
      <c r="J54" t="s">
        <v>38</v>
      </c>
      <c r="K54" t="s">
        <v>38</v>
      </c>
      <c r="L54" t="s">
        <v>38</v>
      </c>
    </row>
    <row r="55" spans="2:12">
      <c r="B55" t="s">
        <v>38</v>
      </c>
      <c r="C55">
        <v>1</v>
      </c>
      <c r="H55" t="s">
        <v>38</v>
      </c>
      <c r="I55" t="s">
        <v>38</v>
      </c>
      <c r="J55" t="s">
        <v>38</v>
      </c>
      <c r="K55" t="s">
        <v>38</v>
      </c>
      <c r="L55" t="s">
        <v>38</v>
      </c>
    </row>
    <row r="56" spans="2:12">
      <c r="B56" t="s">
        <v>38</v>
      </c>
      <c r="C56">
        <v>1</v>
      </c>
      <c r="H56" t="s">
        <v>38</v>
      </c>
      <c r="I56" t="s">
        <v>38</v>
      </c>
      <c r="J56" t="s">
        <v>38</v>
      </c>
      <c r="K56" t="s">
        <v>38</v>
      </c>
      <c r="L56" t="s">
        <v>38</v>
      </c>
    </row>
    <row r="57" spans="2:12">
      <c r="B57" t="s">
        <v>38</v>
      </c>
      <c r="C57">
        <v>1</v>
      </c>
      <c r="H57" t="s">
        <v>38</v>
      </c>
      <c r="I57" t="s">
        <v>38</v>
      </c>
      <c r="J57" t="s">
        <v>38</v>
      </c>
      <c r="K57" t="s">
        <v>38</v>
      </c>
      <c r="L57" t="s">
        <v>38</v>
      </c>
    </row>
    <row r="58" spans="2:12">
      <c r="B58" t="s">
        <v>38</v>
      </c>
      <c r="C58">
        <v>1</v>
      </c>
      <c r="H58" t="s">
        <v>38</v>
      </c>
      <c r="I58" t="s">
        <v>38</v>
      </c>
      <c r="J58" t="s">
        <v>38</v>
      </c>
      <c r="K58" t="s">
        <v>38</v>
      </c>
      <c r="L58" t="s">
        <v>38</v>
      </c>
    </row>
    <row r="59" spans="2:12">
      <c r="B59" t="s">
        <v>38</v>
      </c>
      <c r="C59">
        <v>1</v>
      </c>
      <c r="H59" t="s">
        <v>38</v>
      </c>
      <c r="I59" t="s">
        <v>38</v>
      </c>
      <c r="J59" t="s">
        <v>38</v>
      </c>
      <c r="K59" t="s">
        <v>38</v>
      </c>
      <c r="L59" t="s">
        <v>38</v>
      </c>
    </row>
    <row r="60" spans="2:12">
      <c r="B60" t="s">
        <v>38</v>
      </c>
      <c r="C60">
        <v>1</v>
      </c>
      <c r="H60" t="s">
        <v>38</v>
      </c>
      <c r="I60" t="s">
        <v>38</v>
      </c>
      <c r="J60" t="s">
        <v>38</v>
      </c>
      <c r="K60" t="s">
        <v>38</v>
      </c>
      <c r="L60" t="s">
        <v>38</v>
      </c>
    </row>
    <row r="61" spans="2:12">
      <c r="B61" t="s">
        <v>38</v>
      </c>
      <c r="C61">
        <v>1</v>
      </c>
      <c r="H61" t="s">
        <v>38</v>
      </c>
      <c r="I61" t="s">
        <v>38</v>
      </c>
      <c r="J61" t="s">
        <v>38</v>
      </c>
      <c r="K61" t="s">
        <v>38</v>
      </c>
      <c r="L61" t="s">
        <v>38</v>
      </c>
    </row>
    <row r="62" spans="2:12">
      <c r="B62" t="s">
        <v>38</v>
      </c>
      <c r="C62">
        <v>1</v>
      </c>
      <c r="H62" t="s">
        <v>38</v>
      </c>
      <c r="I62" t="s">
        <v>38</v>
      </c>
      <c r="J62" t="s">
        <v>38</v>
      </c>
      <c r="K62" t="s">
        <v>38</v>
      </c>
      <c r="L62" t="s">
        <v>38</v>
      </c>
    </row>
    <row r="63" spans="2:12">
      <c r="B63" t="s">
        <v>38</v>
      </c>
      <c r="C63">
        <v>1</v>
      </c>
      <c r="H63" t="s">
        <v>38</v>
      </c>
      <c r="I63" t="s">
        <v>38</v>
      </c>
      <c r="J63" t="s">
        <v>38</v>
      </c>
      <c r="K63" t="s">
        <v>38</v>
      </c>
      <c r="L63" t="s">
        <v>38</v>
      </c>
    </row>
    <row r="64" spans="2:12">
      <c r="B64" t="s">
        <v>38</v>
      </c>
      <c r="C64">
        <v>1</v>
      </c>
      <c r="H64" t="s">
        <v>38</v>
      </c>
      <c r="I64" t="s">
        <v>38</v>
      </c>
      <c r="J64" t="s">
        <v>38</v>
      </c>
      <c r="K64" t="s">
        <v>38</v>
      </c>
      <c r="L64" t="s">
        <v>38</v>
      </c>
    </row>
    <row r="65" spans="2:12">
      <c r="B65" t="s">
        <v>38</v>
      </c>
      <c r="C65">
        <v>1</v>
      </c>
      <c r="H65" t="s">
        <v>38</v>
      </c>
      <c r="I65" t="s">
        <v>38</v>
      </c>
      <c r="J65" t="s">
        <v>38</v>
      </c>
      <c r="K65" t="s">
        <v>38</v>
      </c>
      <c r="L65" t="s">
        <v>38</v>
      </c>
    </row>
    <row r="66" spans="2:12">
      <c r="B66" t="s">
        <v>38</v>
      </c>
      <c r="C66">
        <v>1</v>
      </c>
      <c r="H66" t="s">
        <v>38</v>
      </c>
      <c r="I66" t="s">
        <v>38</v>
      </c>
      <c r="J66" t="s">
        <v>38</v>
      </c>
      <c r="K66" t="s">
        <v>38</v>
      </c>
      <c r="L66" t="s">
        <v>38</v>
      </c>
    </row>
    <row r="67" spans="2:12">
      <c r="B67" t="s">
        <v>38</v>
      </c>
      <c r="C67">
        <v>1</v>
      </c>
      <c r="H67" t="s">
        <v>38</v>
      </c>
      <c r="I67" t="s">
        <v>38</v>
      </c>
      <c r="J67" t="s">
        <v>38</v>
      </c>
      <c r="K67" t="s">
        <v>38</v>
      </c>
      <c r="L67" t="s">
        <v>38</v>
      </c>
    </row>
    <row r="68" spans="2:12">
      <c r="B68" t="s">
        <v>38</v>
      </c>
      <c r="C68">
        <v>1</v>
      </c>
      <c r="H68" t="s">
        <v>38</v>
      </c>
      <c r="I68" t="s">
        <v>38</v>
      </c>
      <c r="J68" t="s">
        <v>38</v>
      </c>
      <c r="K68" t="s">
        <v>38</v>
      </c>
      <c r="L68" t="s">
        <v>38</v>
      </c>
    </row>
    <row r="69" spans="2:12">
      <c r="B69" t="s">
        <v>38</v>
      </c>
      <c r="C69">
        <v>1</v>
      </c>
      <c r="H69" t="s">
        <v>38</v>
      </c>
      <c r="I69" t="s">
        <v>38</v>
      </c>
      <c r="J69" t="s">
        <v>38</v>
      </c>
      <c r="K69" t="s">
        <v>38</v>
      </c>
      <c r="L69" t="s">
        <v>38</v>
      </c>
    </row>
    <row r="70" spans="2:12">
      <c r="B70" t="s">
        <v>38</v>
      </c>
      <c r="C70">
        <v>1</v>
      </c>
      <c r="H70" t="s">
        <v>38</v>
      </c>
      <c r="I70" t="s">
        <v>38</v>
      </c>
      <c r="J70" t="s">
        <v>38</v>
      </c>
      <c r="K70" t="s">
        <v>38</v>
      </c>
      <c r="L70" t="s">
        <v>38</v>
      </c>
    </row>
    <row r="71" spans="2:12">
      <c r="B71" t="s">
        <v>38</v>
      </c>
      <c r="C71">
        <v>1</v>
      </c>
      <c r="H71" t="s">
        <v>38</v>
      </c>
      <c r="I71" t="s">
        <v>38</v>
      </c>
      <c r="J71" t="s">
        <v>38</v>
      </c>
      <c r="K71" t="s">
        <v>38</v>
      </c>
      <c r="L71" t="s">
        <v>38</v>
      </c>
    </row>
    <row r="72" spans="2:12">
      <c r="B72" t="s">
        <v>38</v>
      </c>
      <c r="C72">
        <v>1</v>
      </c>
      <c r="H72" t="s">
        <v>38</v>
      </c>
      <c r="I72" t="s">
        <v>38</v>
      </c>
      <c r="J72" t="s">
        <v>38</v>
      </c>
      <c r="K72" t="s">
        <v>38</v>
      </c>
      <c r="L72" t="s">
        <v>38</v>
      </c>
    </row>
    <row r="73" spans="2:12">
      <c r="B73" t="s">
        <v>38</v>
      </c>
      <c r="C73">
        <v>1</v>
      </c>
      <c r="H73" t="s">
        <v>38</v>
      </c>
      <c r="I73" t="s">
        <v>38</v>
      </c>
      <c r="J73" t="s">
        <v>38</v>
      </c>
      <c r="K73" t="s">
        <v>38</v>
      </c>
      <c r="L73" t="s">
        <v>38</v>
      </c>
    </row>
    <row r="74" spans="2:12">
      <c r="B74" t="s">
        <v>38</v>
      </c>
      <c r="C74">
        <v>1</v>
      </c>
      <c r="H74" t="s">
        <v>38</v>
      </c>
      <c r="I74" t="s">
        <v>38</v>
      </c>
      <c r="J74" t="s">
        <v>38</v>
      </c>
      <c r="K74" t="s">
        <v>38</v>
      </c>
      <c r="L74" t="s">
        <v>38</v>
      </c>
    </row>
    <row r="75" spans="2:12">
      <c r="B75" t="s">
        <v>38</v>
      </c>
      <c r="C75">
        <v>1</v>
      </c>
      <c r="H75" t="s">
        <v>38</v>
      </c>
      <c r="I75" t="s">
        <v>38</v>
      </c>
      <c r="J75" t="s">
        <v>38</v>
      </c>
      <c r="K75" t="s">
        <v>38</v>
      </c>
      <c r="L75" t="s">
        <v>38</v>
      </c>
    </row>
    <row r="76" spans="2:12">
      <c r="B76" t="s">
        <v>38</v>
      </c>
      <c r="C76">
        <v>1</v>
      </c>
      <c r="H76" t="s">
        <v>38</v>
      </c>
      <c r="I76" t="s">
        <v>38</v>
      </c>
      <c r="J76" t="s">
        <v>38</v>
      </c>
      <c r="K76" t="s">
        <v>38</v>
      </c>
      <c r="L76" t="s">
        <v>38</v>
      </c>
    </row>
    <row r="77" spans="2:12">
      <c r="B77" t="s">
        <v>38</v>
      </c>
      <c r="C77">
        <v>1</v>
      </c>
      <c r="H77" t="s">
        <v>38</v>
      </c>
      <c r="I77" t="s">
        <v>38</v>
      </c>
      <c r="J77" t="s">
        <v>38</v>
      </c>
      <c r="K77" t="s">
        <v>38</v>
      </c>
      <c r="L77" t="s">
        <v>38</v>
      </c>
    </row>
    <row r="78" spans="2:12">
      <c r="B78" t="s">
        <v>38</v>
      </c>
      <c r="C78">
        <v>1</v>
      </c>
      <c r="H78" t="s">
        <v>38</v>
      </c>
      <c r="I78" t="s">
        <v>38</v>
      </c>
      <c r="J78" t="s">
        <v>38</v>
      </c>
      <c r="K78" t="s">
        <v>38</v>
      </c>
      <c r="L78" t="s">
        <v>38</v>
      </c>
    </row>
    <row r="79" spans="2:12">
      <c r="B79" t="s">
        <v>38</v>
      </c>
      <c r="C79">
        <v>1</v>
      </c>
      <c r="H79" t="s">
        <v>38</v>
      </c>
      <c r="I79" t="s">
        <v>38</v>
      </c>
      <c r="J79" t="s">
        <v>38</v>
      </c>
      <c r="K79" t="s">
        <v>38</v>
      </c>
      <c r="L79" t="s">
        <v>38</v>
      </c>
    </row>
    <row r="80" spans="2:12">
      <c r="B80" t="s">
        <v>38</v>
      </c>
      <c r="C80">
        <v>1</v>
      </c>
      <c r="H80" t="s">
        <v>38</v>
      </c>
      <c r="I80" t="s">
        <v>38</v>
      </c>
      <c r="J80" t="s">
        <v>38</v>
      </c>
      <c r="K80" t="s">
        <v>38</v>
      </c>
      <c r="L80" t="s">
        <v>38</v>
      </c>
    </row>
    <row r="81" spans="1:16">
      <c r="B81" t="s">
        <v>38</v>
      </c>
      <c r="C81">
        <v>1</v>
      </c>
      <c r="H81" t="s">
        <v>38</v>
      </c>
      <c r="I81" t="s">
        <v>38</v>
      </c>
      <c r="J81" t="s">
        <v>38</v>
      </c>
      <c r="K81" t="s">
        <v>38</v>
      </c>
      <c r="L81" t="s">
        <v>38</v>
      </c>
    </row>
    <row r="82" spans="1:16">
      <c r="B82" t="s">
        <v>38</v>
      </c>
      <c r="C82">
        <v>1</v>
      </c>
      <c r="H82" t="s">
        <v>38</v>
      </c>
      <c r="I82" t="s">
        <v>38</v>
      </c>
      <c r="J82" t="s">
        <v>38</v>
      </c>
      <c r="K82" t="s">
        <v>38</v>
      </c>
      <c r="L82" t="s">
        <v>38</v>
      </c>
    </row>
    <row r="83" spans="1:16">
      <c r="B83" t="s">
        <v>38</v>
      </c>
      <c r="C83">
        <v>1</v>
      </c>
      <c r="H83" t="s">
        <v>38</v>
      </c>
      <c r="I83" t="s">
        <v>38</v>
      </c>
      <c r="J83" t="s">
        <v>38</v>
      </c>
      <c r="K83" t="s">
        <v>38</v>
      </c>
      <c r="L83" t="s">
        <v>38</v>
      </c>
    </row>
    <row r="84" spans="1:16">
      <c r="B84" t="s">
        <v>38</v>
      </c>
      <c r="C84">
        <v>1</v>
      </c>
      <c r="H84" t="s">
        <v>38</v>
      </c>
      <c r="I84" t="s">
        <v>38</v>
      </c>
      <c r="J84" t="s">
        <v>38</v>
      </c>
      <c r="K84" t="s">
        <v>38</v>
      </c>
      <c r="L84" t="s">
        <v>38</v>
      </c>
    </row>
    <row r="85" spans="1:16">
      <c r="B85" t="s">
        <v>38</v>
      </c>
      <c r="C85">
        <v>1</v>
      </c>
      <c r="H85" t="s">
        <v>38</v>
      </c>
      <c r="I85" t="s">
        <v>38</v>
      </c>
      <c r="J85" t="s">
        <v>38</v>
      </c>
      <c r="K85" t="s">
        <v>38</v>
      </c>
      <c r="L85" t="s">
        <v>38</v>
      </c>
    </row>
    <row r="86" spans="1:16">
      <c r="B86" t="s">
        <v>38</v>
      </c>
      <c r="C86">
        <v>1</v>
      </c>
      <c r="H86" t="s">
        <v>38</v>
      </c>
      <c r="I86" t="s">
        <v>38</v>
      </c>
      <c r="J86" t="s">
        <v>38</v>
      </c>
      <c r="K86" t="s">
        <v>38</v>
      </c>
      <c r="L86" t="s">
        <v>38</v>
      </c>
    </row>
    <row r="87" spans="1:16">
      <c r="B87" t="s">
        <v>38</v>
      </c>
      <c r="C87">
        <v>1</v>
      </c>
      <c r="H87" t="s">
        <v>38</v>
      </c>
      <c r="I87" t="s">
        <v>38</v>
      </c>
      <c r="J87" t="s">
        <v>38</v>
      </c>
      <c r="K87" t="s">
        <v>38</v>
      </c>
      <c r="L87" t="s">
        <v>38</v>
      </c>
    </row>
    <row r="88" spans="1:16">
      <c r="B88" t="s">
        <v>38</v>
      </c>
      <c r="C88">
        <v>1</v>
      </c>
      <c r="H88" t="s">
        <v>38</v>
      </c>
      <c r="I88" t="s">
        <v>38</v>
      </c>
      <c r="J88" t="s">
        <v>38</v>
      </c>
      <c r="K88" t="s">
        <v>38</v>
      </c>
      <c r="L88" t="s">
        <v>38</v>
      </c>
    </row>
    <row r="89" spans="1:16">
      <c r="B89" t="s">
        <v>38</v>
      </c>
      <c r="C89">
        <v>1</v>
      </c>
      <c r="H89" t="s">
        <v>38</v>
      </c>
      <c r="I89" t="s">
        <v>38</v>
      </c>
      <c r="J89" t="s">
        <v>38</v>
      </c>
      <c r="K89" t="s">
        <v>38</v>
      </c>
      <c r="L89" t="s">
        <v>38</v>
      </c>
    </row>
    <row r="90" spans="1:16">
      <c r="B90" t="s">
        <v>38</v>
      </c>
      <c r="C90">
        <v>1</v>
      </c>
      <c r="H90" t="s">
        <v>38</v>
      </c>
      <c r="I90" t="s">
        <v>38</v>
      </c>
      <c r="J90" t="s">
        <v>38</v>
      </c>
      <c r="K90" t="s">
        <v>38</v>
      </c>
      <c r="L90" t="s">
        <v>38</v>
      </c>
    </row>
    <row r="91" spans="1:16">
      <c r="B91" t="s">
        <v>38</v>
      </c>
      <c r="C91">
        <v>1</v>
      </c>
      <c r="H91" t="s">
        <v>38</v>
      </c>
      <c r="I91" t="s">
        <v>38</v>
      </c>
      <c r="J91" t="s">
        <v>38</v>
      </c>
      <c r="K91" t="s">
        <v>38</v>
      </c>
      <c r="L91" t="s">
        <v>38</v>
      </c>
    </row>
    <row r="93" spans="1:16">
      <c r="A93" t="s">
        <v>75</v>
      </c>
      <c r="B93" t="s">
        <v>157</v>
      </c>
      <c r="C93">
        <v>1</v>
      </c>
      <c r="E93">
        <v>1</v>
      </c>
      <c r="H93" t="s">
        <v>312</v>
      </c>
      <c r="I93" t="s">
        <v>38</v>
      </c>
      <c r="J93" t="s">
        <v>38</v>
      </c>
      <c r="K93" t="s">
        <v>38</v>
      </c>
      <c r="L93" t="s">
        <v>306</v>
      </c>
      <c r="O93">
        <v>25</v>
      </c>
      <c r="P93">
        <v>43074.73</v>
      </c>
    </row>
    <row r="94" spans="1:16">
      <c r="B94" t="s">
        <v>160</v>
      </c>
      <c r="C94">
        <v>1</v>
      </c>
      <c r="E94">
        <v>1</v>
      </c>
      <c r="H94" t="s">
        <v>312</v>
      </c>
      <c r="I94" t="s">
        <v>38</v>
      </c>
      <c r="J94" t="s">
        <v>313</v>
      </c>
      <c r="K94" t="s">
        <v>38</v>
      </c>
      <c r="L94" t="s">
        <v>306</v>
      </c>
      <c r="M94" t="s">
        <v>314</v>
      </c>
    </row>
    <row r="95" spans="1:16">
      <c r="B95" t="s">
        <v>154</v>
      </c>
      <c r="C95">
        <v>1</v>
      </c>
      <c r="E95">
        <v>1</v>
      </c>
      <c r="H95" t="s">
        <v>38</v>
      </c>
      <c r="I95" t="s">
        <v>38</v>
      </c>
      <c r="J95" t="s">
        <v>315</v>
      </c>
      <c r="K95" t="s">
        <v>38</v>
      </c>
      <c r="L95" t="s">
        <v>306</v>
      </c>
    </row>
    <row r="96" spans="1:16">
      <c r="B96" t="s">
        <v>157</v>
      </c>
      <c r="C96">
        <v>1</v>
      </c>
      <c r="E96">
        <v>3</v>
      </c>
      <c r="G96">
        <v>1</v>
      </c>
      <c r="H96" t="s">
        <v>312</v>
      </c>
      <c r="I96" t="s">
        <v>316</v>
      </c>
      <c r="J96" t="s">
        <v>315</v>
      </c>
      <c r="K96" t="s">
        <v>38</v>
      </c>
      <c r="L96" t="s">
        <v>38</v>
      </c>
    </row>
    <row r="97" spans="2:13">
      <c r="B97" t="s">
        <v>160</v>
      </c>
      <c r="C97">
        <v>1</v>
      </c>
      <c r="E97">
        <v>3</v>
      </c>
      <c r="G97">
        <v>1</v>
      </c>
      <c r="H97" t="s">
        <v>312</v>
      </c>
      <c r="I97" t="s">
        <v>316</v>
      </c>
      <c r="J97" t="s">
        <v>317</v>
      </c>
      <c r="K97" t="s">
        <v>38</v>
      </c>
      <c r="L97" t="s">
        <v>38</v>
      </c>
      <c r="M97" t="s">
        <v>314</v>
      </c>
    </row>
    <row r="98" spans="2:13">
      <c r="B98" t="s">
        <v>157</v>
      </c>
      <c r="C98">
        <v>1</v>
      </c>
      <c r="D98">
        <v>1</v>
      </c>
      <c r="E98">
        <v>4</v>
      </c>
      <c r="F98">
        <v>1</v>
      </c>
      <c r="G98">
        <v>1</v>
      </c>
      <c r="H98" t="s">
        <v>312</v>
      </c>
      <c r="I98" t="s">
        <v>316</v>
      </c>
      <c r="J98" t="s">
        <v>318</v>
      </c>
      <c r="K98" t="s">
        <v>38</v>
      </c>
      <c r="L98" t="s">
        <v>306</v>
      </c>
    </row>
    <row r="99" spans="2:13">
      <c r="B99" t="s">
        <v>160</v>
      </c>
      <c r="C99">
        <v>1</v>
      </c>
      <c r="D99">
        <v>1</v>
      </c>
      <c r="E99">
        <v>4</v>
      </c>
      <c r="F99">
        <v>2</v>
      </c>
      <c r="G99">
        <v>1</v>
      </c>
      <c r="H99" t="s">
        <v>312</v>
      </c>
      <c r="I99" t="s">
        <v>316</v>
      </c>
      <c r="J99" t="s">
        <v>319</v>
      </c>
      <c r="K99" t="s">
        <v>38</v>
      </c>
      <c r="L99" t="s">
        <v>306</v>
      </c>
      <c r="M99" t="s">
        <v>314</v>
      </c>
    </row>
    <row r="100" spans="2:13">
      <c r="B100" t="s">
        <v>160</v>
      </c>
      <c r="C100">
        <v>1</v>
      </c>
      <c r="D100">
        <v>1</v>
      </c>
      <c r="E100">
        <v>5</v>
      </c>
      <c r="F100">
        <v>4</v>
      </c>
      <c r="G100">
        <v>1</v>
      </c>
      <c r="H100" t="s">
        <v>312</v>
      </c>
      <c r="I100" t="s">
        <v>316</v>
      </c>
      <c r="J100" t="s">
        <v>320</v>
      </c>
      <c r="K100" t="s">
        <v>38</v>
      </c>
      <c r="L100" t="s">
        <v>306</v>
      </c>
      <c r="M100" t="s">
        <v>314</v>
      </c>
    </row>
    <row r="101" spans="2:13">
      <c r="B101" t="s">
        <v>160</v>
      </c>
      <c r="C101">
        <v>1</v>
      </c>
      <c r="D101">
        <v>1</v>
      </c>
      <c r="E101">
        <v>5</v>
      </c>
      <c r="F101">
        <v>5</v>
      </c>
      <c r="G101">
        <v>1</v>
      </c>
      <c r="H101" t="s">
        <v>312</v>
      </c>
      <c r="I101" t="s">
        <v>316</v>
      </c>
      <c r="J101" t="s">
        <v>321</v>
      </c>
      <c r="K101" t="s">
        <v>38</v>
      </c>
      <c r="L101" t="s">
        <v>306</v>
      </c>
      <c r="M101" t="s">
        <v>314</v>
      </c>
    </row>
    <row r="102" spans="2:13">
      <c r="B102" t="s">
        <v>154</v>
      </c>
      <c r="C102">
        <v>1</v>
      </c>
      <c r="D102">
        <v>1</v>
      </c>
      <c r="E102">
        <v>5</v>
      </c>
      <c r="F102">
        <v>5</v>
      </c>
      <c r="G102">
        <v>1</v>
      </c>
      <c r="H102" t="s">
        <v>38</v>
      </c>
      <c r="I102" t="s">
        <v>316</v>
      </c>
      <c r="J102" t="s">
        <v>322</v>
      </c>
      <c r="K102" t="s">
        <v>38</v>
      </c>
      <c r="L102" t="s">
        <v>38</v>
      </c>
    </row>
    <row r="103" spans="2:13">
      <c r="B103" t="s">
        <v>157</v>
      </c>
      <c r="C103">
        <v>1</v>
      </c>
      <c r="D103">
        <v>1</v>
      </c>
      <c r="E103">
        <v>5</v>
      </c>
      <c r="F103">
        <v>5</v>
      </c>
      <c r="G103">
        <v>1</v>
      </c>
      <c r="H103" t="s">
        <v>312</v>
      </c>
      <c r="I103" t="s">
        <v>316</v>
      </c>
      <c r="J103" t="s">
        <v>322</v>
      </c>
      <c r="K103" t="s">
        <v>38</v>
      </c>
      <c r="L103" t="s">
        <v>38</v>
      </c>
    </row>
    <row r="104" spans="2:13">
      <c r="B104" t="s">
        <v>160</v>
      </c>
      <c r="C104">
        <v>1</v>
      </c>
      <c r="D104">
        <v>1</v>
      </c>
      <c r="E104">
        <v>5</v>
      </c>
      <c r="F104">
        <v>5</v>
      </c>
      <c r="G104">
        <v>1</v>
      </c>
      <c r="H104" t="s">
        <v>312</v>
      </c>
      <c r="I104" t="s">
        <v>316</v>
      </c>
      <c r="J104" t="s">
        <v>321</v>
      </c>
      <c r="K104" t="s">
        <v>38</v>
      </c>
      <c r="L104" t="s">
        <v>38</v>
      </c>
      <c r="M104" t="s">
        <v>314</v>
      </c>
    </row>
    <row r="105" spans="2:13">
      <c r="B105" t="s">
        <v>157</v>
      </c>
      <c r="C105">
        <v>1</v>
      </c>
      <c r="E105">
        <v>5</v>
      </c>
      <c r="F105">
        <v>5</v>
      </c>
      <c r="H105" t="s">
        <v>312</v>
      </c>
      <c r="I105" t="s">
        <v>316</v>
      </c>
      <c r="J105" t="s">
        <v>322</v>
      </c>
      <c r="K105" t="s">
        <v>38</v>
      </c>
      <c r="L105" t="s">
        <v>38</v>
      </c>
    </row>
    <row r="106" spans="2:13">
      <c r="B106" t="s">
        <v>131</v>
      </c>
      <c r="C106">
        <v>1</v>
      </c>
      <c r="E106">
        <v>5</v>
      </c>
      <c r="H106" t="s">
        <v>38</v>
      </c>
      <c r="I106" t="s">
        <v>316</v>
      </c>
      <c r="J106" t="s">
        <v>323</v>
      </c>
      <c r="K106" t="s">
        <v>38</v>
      </c>
      <c r="L106" t="s">
        <v>38</v>
      </c>
    </row>
    <row r="107" spans="2:13">
      <c r="B107" t="s">
        <v>131</v>
      </c>
      <c r="C107">
        <v>1</v>
      </c>
      <c r="D107">
        <v>1</v>
      </c>
      <c r="E107">
        <v>5</v>
      </c>
      <c r="F107">
        <v>5</v>
      </c>
      <c r="G107">
        <v>1</v>
      </c>
      <c r="H107" t="s">
        <v>38</v>
      </c>
      <c r="I107" t="s">
        <v>316</v>
      </c>
      <c r="J107" t="s">
        <v>322</v>
      </c>
      <c r="K107" t="s">
        <v>38</v>
      </c>
      <c r="L107" t="s">
        <v>38</v>
      </c>
    </row>
    <row r="108" spans="2:13">
      <c r="B108" t="s">
        <v>127</v>
      </c>
      <c r="C108">
        <v>3</v>
      </c>
      <c r="E108">
        <v>5</v>
      </c>
      <c r="H108" t="s">
        <v>38</v>
      </c>
      <c r="I108" t="s">
        <v>316</v>
      </c>
      <c r="J108" t="s">
        <v>38</v>
      </c>
      <c r="K108" t="s">
        <v>38</v>
      </c>
      <c r="L108" t="s">
        <v>38</v>
      </c>
    </row>
    <row r="109" spans="2:13">
      <c r="B109" t="s">
        <v>128</v>
      </c>
      <c r="C109">
        <v>3</v>
      </c>
      <c r="E109">
        <v>5</v>
      </c>
      <c r="H109" t="s">
        <v>38</v>
      </c>
      <c r="I109" t="s">
        <v>316</v>
      </c>
      <c r="J109" t="s">
        <v>38</v>
      </c>
      <c r="K109" t="s">
        <v>38</v>
      </c>
      <c r="L109" t="s">
        <v>38</v>
      </c>
    </row>
    <row r="110" spans="2:13">
      <c r="B110" t="s">
        <v>127</v>
      </c>
      <c r="C110">
        <v>22</v>
      </c>
      <c r="E110">
        <v>5</v>
      </c>
      <c r="H110" t="s">
        <v>38</v>
      </c>
      <c r="I110" t="s">
        <v>38</v>
      </c>
      <c r="J110" t="s">
        <v>38</v>
      </c>
      <c r="K110" t="s">
        <v>38</v>
      </c>
      <c r="L110" t="s">
        <v>38</v>
      </c>
    </row>
    <row r="111" spans="2:13">
      <c r="B111" t="s">
        <v>128</v>
      </c>
      <c r="C111">
        <v>22</v>
      </c>
      <c r="E111">
        <v>5</v>
      </c>
      <c r="H111" t="s">
        <v>38</v>
      </c>
      <c r="I111" t="s">
        <v>38</v>
      </c>
      <c r="J111" t="s">
        <v>38</v>
      </c>
      <c r="K111" t="s">
        <v>38</v>
      </c>
      <c r="L111" t="s">
        <v>38</v>
      </c>
    </row>
    <row r="112" spans="2:13">
      <c r="B112" t="s">
        <v>38</v>
      </c>
      <c r="C112">
        <v>0</v>
      </c>
      <c r="H112" t="s">
        <v>38</v>
      </c>
      <c r="I112" t="s">
        <v>38</v>
      </c>
      <c r="J112" t="s">
        <v>38</v>
      </c>
      <c r="K112" t="s">
        <v>38</v>
      </c>
      <c r="L112" t="s">
        <v>38</v>
      </c>
    </row>
    <row r="113" spans="2:12">
      <c r="B113" t="s">
        <v>38</v>
      </c>
      <c r="C113">
        <v>0</v>
      </c>
      <c r="H113" t="s">
        <v>38</v>
      </c>
      <c r="I113" t="s">
        <v>38</v>
      </c>
      <c r="J113" t="s">
        <v>38</v>
      </c>
      <c r="K113" t="s">
        <v>38</v>
      </c>
      <c r="L113" t="s">
        <v>38</v>
      </c>
    </row>
    <row r="114" spans="2:12">
      <c r="B114" t="s">
        <v>38</v>
      </c>
      <c r="C114">
        <v>0</v>
      </c>
      <c r="H114" t="s">
        <v>38</v>
      </c>
      <c r="I114" t="s">
        <v>38</v>
      </c>
      <c r="J114" t="s">
        <v>38</v>
      </c>
      <c r="K114" t="s">
        <v>38</v>
      </c>
      <c r="L114" t="s">
        <v>38</v>
      </c>
    </row>
    <row r="115" spans="2:12">
      <c r="B115" t="s">
        <v>38</v>
      </c>
      <c r="C115">
        <v>0</v>
      </c>
      <c r="H115" t="s">
        <v>38</v>
      </c>
      <c r="I115" t="s">
        <v>38</v>
      </c>
      <c r="J115" t="s">
        <v>38</v>
      </c>
      <c r="K115" t="s">
        <v>38</v>
      </c>
      <c r="L115" t="s">
        <v>38</v>
      </c>
    </row>
    <row r="116" spans="2:12">
      <c r="B116" t="s">
        <v>38</v>
      </c>
      <c r="C116">
        <v>0</v>
      </c>
      <c r="H116" t="s">
        <v>38</v>
      </c>
      <c r="I116" t="s">
        <v>38</v>
      </c>
      <c r="J116" t="s">
        <v>38</v>
      </c>
      <c r="K116" t="s">
        <v>38</v>
      </c>
      <c r="L116" t="s">
        <v>38</v>
      </c>
    </row>
    <row r="117" spans="2:12">
      <c r="B117" t="s">
        <v>38</v>
      </c>
      <c r="C117">
        <v>0</v>
      </c>
      <c r="H117" t="s">
        <v>38</v>
      </c>
      <c r="I117" t="s">
        <v>38</v>
      </c>
      <c r="J117" t="s">
        <v>38</v>
      </c>
      <c r="K117" t="s">
        <v>38</v>
      </c>
      <c r="L117" t="s">
        <v>38</v>
      </c>
    </row>
    <row r="118" spans="2:12">
      <c r="B118" t="s">
        <v>38</v>
      </c>
      <c r="C118">
        <v>0</v>
      </c>
      <c r="H118" t="s">
        <v>38</v>
      </c>
      <c r="I118" t="s">
        <v>38</v>
      </c>
      <c r="J118" t="s">
        <v>38</v>
      </c>
      <c r="K118" t="s">
        <v>38</v>
      </c>
      <c r="L118" t="s">
        <v>38</v>
      </c>
    </row>
    <row r="119" spans="2:12">
      <c r="B119" t="s">
        <v>38</v>
      </c>
      <c r="C119">
        <v>0</v>
      </c>
      <c r="H119" t="s">
        <v>38</v>
      </c>
      <c r="I119" t="s">
        <v>38</v>
      </c>
      <c r="J119" t="s">
        <v>38</v>
      </c>
      <c r="K119" t="s">
        <v>38</v>
      </c>
      <c r="L119" t="s">
        <v>38</v>
      </c>
    </row>
    <row r="120" spans="2:12">
      <c r="B120" t="s">
        <v>38</v>
      </c>
      <c r="C120">
        <v>0</v>
      </c>
      <c r="H120" t="s">
        <v>38</v>
      </c>
      <c r="I120" t="s">
        <v>38</v>
      </c>
      <c r="J120" t="s">
        <v>38</v>
      </c>
      <c r="K120" t="s">
        <v>38</v>
      </c>
      <c r="L120" t="s">
        <v>38</v>
      </c>
    </row>
    <row r="121" spans="2:12">
      <c r="B121" t="s">
        <v>38</v>
      </c>
      <c r="C121">
        <v>0</v>
      </c>
      <c r="H121" t="s">
        <v>38</v>
      </c>
      <c r="I121" t="s">
        <v>38</v>
      </c>
      <c r="J121" t="s">
        <v>38</v>
      </c>
      <c r="K121" t="s">
        <v>38</v>
      </c>
      <c r="L121" t="s">
        <v>38</v>
      </c>
    </row>
    <row r="122" spans="2:12">
      <c r="B122" t="s">
        <v>38</v>
      </c>
      <c r="C122">
        <v>0</v>
      </c>
      <c r="H122" t="s">
        <v>38</v>
      </c>
      <c r="I122" t="s">
        <v>38</v>
      </c>
      <c r="J122" t="s">
        <v>38</v>
      </c>
      <c r="K122" t="s">
        <v>38</v>
      </c>
      <c r="L122" t="s">
        <v>38</v>
      </c>
    </row>
    <row r="123" spans="2:12">
      <c r="B123" t="s">
        <v>38</v>
      </c>
      <c r="C123">
        <v>0</v>
      </c>
      <c r="H123" t="s">
        <v>38</v>
      </c>
      <c r="I123" t="s">
        <v>38</v>
      </c>
      <c r="J123" t="s">
        <v>38</v>
      </c>
      <c r="K123" t="s">
        <v>38</v>
      </c>
      <c r="L123" t="s">
        <v>38</v>
      </c>
    </row>
    <row r="124" spans="2:12">
      <c r="B124" t="s">
        <v>38</v>
      </c>
      <c r="C124">
        <v>0</v>
      </c>
      <c r="H124" t="s">
        <v>38</v>
      </c>
      <c r="I124" t="s">
        <v>38</v>
      </c>
      <c r="J124" t="s">
        <v>38</v>
      </c>
      <c r="K124" t="s">
        <v>38</v>
      </c>
      <c r="L124" t="s">
        <v>38</v>
      </c>
    </row>
    <row r="125" spans="2:12">
      <c r="B125" t="s">
        <v>38</v>
      </c>
      <c r="C125">
        <v>0</v>
      </c>
      <c r="H125" t="s">
        <v>38</v>
      </c>
      <c r="I125" t="s">
        <v>38</v>
      </c>
      <c r="J125" t="s">
        <v>38</v>
      </c>
      <c r="K125" t="s">
        <v>38</v>
      </c>
      <c r="L125" t="s">
        <v>38</v>
      </c>
    </row>
    <row r="126" spans="2:12">
      <c r="B126" t="s">
        <v>38</v>
      </c>
      <c r="C126">
        <v>0</v>
      </c>
      <c r="H126" t="s">
        <v>38</v>
      </c>
      <c r="I126" t="s">
        <v>38</v>
      </c>
      <c r="J126" t="s">
        <v>38</v>
      </c>
      <c r="K126" t="s">
        <v>38</v>
      </c>
      <c r="L126" t="s">
        <v>38</v>
      </c>
    </row>
    <row r="127" spans="2:12">
      <c r="B127" t="s">
        <v>38</v>
      </c>
      <c r="C127">
        <v>0</v>
      </c>
      <c r="H127" t="s">
        <v>38</v>
      </c>
      <c r="I127" t="s">
        <v>38</v>
      </c>
      <c r="J127" t="s">
        <v>38</v>
      </c>
      <c r="K127" t="s">
        <v>38</v>
      </c>
      <c r="L127" t="s">
        <v>38</v>
      </c>
    </row>
    <row r="128" spans="2:12">
      <c r="B128" t="s">
        <v>38</v>
      </c>
      <c r="C128">
        <v>0</v>
      </c>
      <c r="H128" t="s">
        <v>38</v>
      </c>
      <c r="I128" t="s">
        <v>38</v>
      </c>
      <c r="J128" t="s">
        <v>38</v>
      </c>
      <c r="K128" t="s">
        <v>38</v>
      </c>
      <c r="L128" t="s">
        <v>38</v>
      </c>
    </row>
    <row r="129" spans="2:12">
      <c r="B129" t="s">
        <v>38</v>
      </c>
      <c r="C129">
        <v>0</v>
      </c>
      <c r="H129" t="s">
        <v>38</v>
      </c>
      <c r="I129" t="s">
        <v>38</v>
      </c>
      <c r="J129" t="s">
        <v>38</v>
      </c>
      <c r="K129" t="s">
        <v>38</v>
      </c>
      <c r="L129" t="s">
        <v>38</v>
      </c>
    </row>
    <row r="130" spans="2:12">
      <c r="B130" t="s">
        <v>38</v>
      </c>
      <c r="C130">
        <v>0</v>
      </c>
      <c r="H130" t="s">
        <v>38</v>
      </c>
      <c r="I130" t="s">
        <v>38</v>
      </c>
      <c r="J130" t="s">
        <v>38</v>
      </c>
      <c r="K130" t="s">
        <v>38</v>
      </c>
      <c r="L130" t="s">
        <v>38</v>
      </c>
    </row>
    <row r="131" spans="2:12">
      <c r="B131" t="s">
        <v>38</v>
      </c>
      <c r="C131">
        <v>0</v>
      </c>
      <c r="H131" t="s">
        <v>38</v>
      </c>
      <c r="I131" t="s">
        <v>38</v>
      </c>
      <c r="J131" t="s">
        <v>38</v>
      </c>
      <c r="K131" t="s">
        <v>38</v>
      </c>
      <c r="L131" t="s">
        <v>38</v>
      </c>
    </row>
    <row r="132" spans="2:12">
      <c r="B132" t="s">
        <v>38</v>
      </c>
      <c r="C132">
        <v>0</v>
      </c>
      <c r="H132" t="s">
        <v>38</v>
      </c>
      <c r="I132" t="s">
        <v>38</v>
      </c>
      <c r="J132" t="s">
        <v>38</v>
      </c>
      <c r="K132" t="s">
        <v>38</v>
      </c>
      <c r="L132" t="s">
        <v>38</v>
      </c>
    </row>
    <row r="133" spans="2:12">
      <c r="B133" t="s">
        <v>38</v>
      </c>
      <c r="C133">
        <v>0</v>
      </c>
      <c r="H133" t="s">
        <v>38</v>
      </c>
      <c r="I133" t="s">
        <v>38</v>
      </c>
      <c r="J133" t="s">
        <v>38</v>
      </c>
      <c r="K133" t="s">
        <v>38</v>
      </c>
      <c r="L133" t="s">
        <v>38</v>
      </c>
    </row>
    <row r="134" spans="2:12">
      <c r="B134" t="s">
        <v>38</v>
      </c>
      <c r="C134">
        <v>0</v>
      </c>
      <c r="H134" t="s">
        <v>38</v>
      </c>
      <c r="I134" t="s">
        <v>38</v>
      </c>
      <c r="J134" t="s">
        <v>38</v>
      </c>
      <c r="K134" t="s">
        <v>38</v>
      </c>
      <c r="L134" t="s">
        <v>38</v>
      </c>
    </row>
    <row r="135" spans="2:12">
      <c r="B135" t="s">
        <v>38</v>
      </c>
      <c r="C135">
        <v>0</v>
      </c>
      <c r="H135" t="s">
        <v>38</v>
      </c>
      <c r="I135" t="s">
        <v>38</v>
      </c>
      <c r="J135" t="s">
        <v>38</v>
      </c>
      <c r="K135" t="s">
        <v>38</v>
      </c>
      <c r="L135" t="s">
        <v>38</v>
      </c>
    </row>
    <row r="136" spans="2:12">
      <c r="B136" t="s">
        <v>38</v>
      </c>
      <c r="C136">
        <v>0</v>
      </c>
      <c r="H136" t="s">
        <v>38</v>
      </c>
      <c r="I136" t="s">
        <v>38</v>
      </c>
      <c r="J136" t="s">
        <v>38</v>
      </c>
      <c r="K136" t="s">
        <v>38</v>
      </c>
      <c r="L136" t="s">
        <v>38</v>
      </c>
    </row>
    <row r="137" spans="2:12">
      <c r="B137" t="s">
        <v>38</v>
      </c>
      <c r="C137">
        <v>0</v>
      </c>
      <c r="H137" t="s">
        <v>38</v>
      </c>
      <c r="I137" t="s">
        <v>38</v>
      </c>
      <c r="J137" t="s">
        <v>38</v>
      </c>
      <c r="K137" t="s">
        <v>38</v>
      </c>
      <c r="L137" t="s">
        <v>38</v>
      </c>
    </row>
    <row r="138" spans="2:12">
      <c r="B138" t="s">
        <v>38</v>
      </c>
      <c r="C138">
        <v>0</v>
      </c>
      <c r="H138" t="s">
        <v>38</v>
      </c>
      <c r="I138" t="s">
        <v>38</v>
      </c>
      <c r="J138" t="s">
        <v>38</v>
      </c>
      <c r="K138" t="s">
        <v>38</v>
      </c>
      <c r="L138" t="s">
        <v>38</v>
      </c>
    </row>
    <row r="139" spans="2:12">
      <c r="B139" t="s">
        <v>38</v>
      </c>
      <c r="C139">
        <v>0</v>
      </c>
      <c r="H139" t="s">
        <v>38</v>
      </c>
      <c r="I139" t="s">
        <v>38</v>
      </c>
      <c r="J139" t="s">
        <v>38</v>
      </c>
      <c r="K139" t="s">
        <v>38</v>
      </c>
      <c r="L139" t="s">
        <v>38</v>
      </c>
    </row>
    <row r="140" spans="2:12">
      <c r="B140" t="s">
        <v>38</v>
      </c>
      <c r="C140">
        <v>0</v>
      </c>
      <c r="H140" t="s">
        <v>38</v>
      </c>
      <c r="I140" t="s">
        <v>38</v>
      </c>
      <c r="J140" t="s">
        <v>38</v>
      </c>
      <c r="K140" t="s">
        <v>38</v>
      </c>
      <c r="L140" t="s">
        <v>38</v>
      </c>
    </row>
    <row r="141" spans="2:12">
      <c r="B141" t="s">
        <v>38</v>
      </c>
      <c r="C141">
        <v>0</v>
      </c>
      <c r="H141" t="s">
        <v>38</v>
      </c>
      <c r="I141" t="s">
        <v>38</v>
      </c>
      <c r="J141" t="s">
        <v>38</v>
      </c>
      <c r="K141" t="s">
        <v>38</v>
      </c>
      <c r="L141" t="s">
        <v>38</v>
      </c>
    </row>
    <row r="142" spans="2:12">
      <c r="B142" t="s">
        <v>38</v>
      </c>
      <c r="C142">
        <v>0</v>
      </c>
      <c r="H142" t="s">
        <v>38</v>
      </c>
      <c r="I142" t="s">
        <v>38</v>
      </c>
      <c r="J142" t="s">
        <v>38</v>
      </c>
      <c r="K142" t="s">
        <v>38</v>
      </c>
      <c r="L142" t="s">
        <v>38</v>
      </c>
    </row>
    <row r="143" spans="2:12">
      <c r="B143" t="s">
        <v>38</v>
      </c>
      <c r="C143">
        <v>0</v>
      </c>
      <c r="H143" t="s">
        <v>38</v>
      </c>
      <c r="I143" t="s">
        <v>38</v>
      </c>
      <c r="J143" t="s">
        <v>38</v>
      </c>
      <c r="K143" t="s">
        <v>38</v>
      </c>
      <c r="L143" t="s">
        <v>38</v>
      </c>
    </row>
    <row r="144" spans="2:12">
      <c r="B144" t="s">
        <v>38</v>
      </c>
      <c r="C144">
        <v>0</v>
      </c>
      <c r="H144" t="s">
        <v>38</v>
      </c>
      <c r="I144" t="s">
        <v>38</v>
      </c>
      <c r="J144" t="s">
        <v>38</v>
      </c>
      <c r="K144" t="s">
        <v>38</v>
      </c>
      <c r="L144" t="s">
        <v>38</v>
      </c>
    </row>
    <row r="145" spans="2:12">
      <c r="B145" t="s">
        <v>38</v>
      </c>
      <c r="C145">
        <v>0</v>
      </c>
      <c r="H145" t="s">
        <v>38</v>
      </c>
      <c r="I145" t="s">
        <v>38</v>
      </c>
      <c r="J145" t="s">
        <v>38</v>
      </c>
      <c r="K145" t="s">
        <v>38</v>
      </c>
      <c r="L145" t="s">
        <v>38</v>
      </c>
    </row>
    <row r="146" spans="2:12">
      <c r="B146" t="s">
        <v>38</v>
      </c>
      <c r="C146">
        <v>0</v>
      </c>
      <c r="H146" t="s">
        <v>38</v>
      </c>
      <c r="I146" t="s">
        <v>38</v>
      </c>
      <c r="J146" t="s">
        <v>38</v>
      </c>
      <c r="K146" t="s">
        <v>38</v>
      </c>
      <c r="L146" t="s">
        <v>38</v>
      </c>
    </row>
    <row r="147" spans="2:12">
      <c r="B147" t="s">
        <v>38</v>
      </c>
      <c r="C147">
        <v>0</v>
      </c>
      <c r="H147" t="s">
        <v>38</v>
      </c>
      <c r="I147" t="s">
        <v>38</v>
      </c>
      <c r="J147" t="s">
        <v>38</v>
      </c>
      <c r="K147" t="s">
        <v>38</v>
      </c>
      <c r="L147" t="s">
        <v>38</v>
      </c>
    </row>
    <row r="148" spans="2:12">
      <c r="B148" t="s">
        <v>38</v>
      </c>
      <c r="C148">
        <v>0</v>
      </c>
      <c r="H148" t="s">
        <v>38</v>
      </c>
      <c r="I148" t="s">
        <v>38</v>
      </c>
      <c r="J148" t="s">
        <v>38</v>
      </c>
      <c r="K148" t="s">
        <v>38</v>
      </c>
      <c r="L148" t="s">
        <v>38</v>
      </c>
    </row>
    <row r="149" spans="2:12">
      <c r="B149" t="s">
        <v>38</v>
      </c>
      <c r="C149">
        <v>0</v>
      </c>
      <c r="H149" t="s">
        <v>38</v>
      </c>
      <c r="I149" t="s">
        <v>38</v>
      </c>
      <c r="J149" t="s">
        <v>38</v>
      </c>
      <c r="K149" t="s">
        <v>38</v>
      </c>
      <c r="L149" t="s">
        <v>38</v>
      </c>
    </row>
    <row r="150" spans="2:12">
      <c r="B150" t="s">
        <v>38</v>
      </c>
      <c r="C150">
        <v>0</v>
      </c>
      <c r="H150" t="s">
        <v>38</v>
      </c>
      <c r="I150" t="s">
        <v>38</v>
      </c>
      <c r="J150" t="s">
        <v>38</v>
      </c>
      <c r="K150" t="s">
        <v>38</v>
      </c>
      <c r="L150" t="s">
        <v>38</v>
      </c>
    </row>
    <row r="151" spans="2:12">
      <c r="B151" t="s">
        <v>38</v>
      </c>
      <c r="C151">
        <v>0</v>
      </c>
      <c r="H151" t="s">
        <v>38</v>
      </c>
      <c r="I151" t="s">
        <v>38</v>
      </c>
      <c r="J151" t="s">
        <v>38</v>
      </c>
      <c r="K151" t="s">
        <v>38</v>
      </c>
      <c r="L151" t="s">
        <v>38</v>
      </c>
    </row>
    <row r="152" spans="2:12">
      <c r="B152" t="s">
        <v>38</v>
      </c>
      <c r="C152">
        <v>0</v>
      </c>
      <c r="H152" t="s">
        <v>38</v>
      </c>
      <c r="I152" t="s">
        <v>38</v>
      </c>
      <c r="J152" t="s">
        <v>38</v>
      </c>
      <c r="K152" t="s">
        <v>38</v>
      </c>
      <c r="L152" t="s">
        <v>38</v>
      </c>
    </row>
    <row r="153" spans="2:12">
      <c r="B153" t="s">
        <v>38</v>
      </c>
      <c r="C153">
        <v>0</v>
      </c>
      <c r="H153" t="s">
        <v>38</v>
      </c>
      <c r="I153" t="s">
        <v>38</v>
      </c>
      <c r="J153" t="s">
        <v>38</v>
      </c>
      <c r="K153" t="s">
        <v>38</v>
      </c>
      <c r="L153" t="s">
        <v>38</v>
      </c>
    </row>
    <row r="154" spans="2:12">
      <c r="B154" t="s">
        <v>38</v>
      </c>
      <c r="C154">
        <v>0</v>
      </c>
      <c r="H154" t="s">
        <v>38</v>
      </c>
      <c r="I154" t="s">
        <v>38</v>
      </c>
      <c r="J154" t="s">
        <v>38</v>
      </c>
      <c r="K154" t="s">
        <v>38</v>
      </c>
      <c r="L154" t="s">
        <v>38</v>
      </c>
    </row>
    <row r="155" spans="2:12">
      <c r="B155" t="s">
        <v>38</v>
      </c>
      <c r="C155">
        <v>0</v>
      </c>
      <c r="H155" t="s">
        <v>38</v>
      </c>
      <c r="I155" t="s">
        <v>38</v>
      </c>
      <c r="J155" t="s">
        <v>38</v>
      </c>
      <c r="K155" t="s">
        <v>38</v>
      </c>
      <c r="L155" t="s">
        <v>38</v>
      </c>
    </row>
    <row r="156" spans="2:12">
      <c r="B156" t="s">
        <v>38</v>
      </c>
      <c r="C156">
        <v>0</v>
      </c>
      <c r="H156" t="s">
        <v>38</v>
      </c>
      <c r="I156" t="s">
        <v>38</v>
      </c>
      <c r="J156" t="s">
        <v>38</v>
      </c>
      <c r="K156" t="s">
        <v>38</v>
      </c>
      <c r="L156" t="s">
        <v>38</v>
      </c>
    </row>
    <row r="157" spans="2:12">
      <c r="B157" t="s">
        <v>38</v>
      </c>
      <c r="C157">
        <v>0</v>
      </c>
      <c r="H157" t="s">
        <v>38</v>
      </c>
      <c r="I157" t="s">
        <v>38</v>
      </c>
      <c r="J157" t="s">
        <v>38</v>
      </c>
      <c r="K157" t="s">
        <v>38</v>
      </c>
      <c r="L157" t="s">
        <v>38</v>
      </c>
    </row>
    <row r="158" spans="2:12">
      <c r="B158" t="s">
        <v>38</v>
      </c>
      <c r="C158">
        <v>0</v>
      </c>
      <c r="H158" t="s">
        <v>38</v>
      </c>
      <c r="I158" t="s">
        <v>38</v>
      </c>
      <c r="J158" t="s">
        <v>38</v>
      </c>
      <c r="K158" t="s">
        <v>38</v>
      </c>
      <c r="L158" t="s">
        <v>38</v>
      </c>
    </row>
    <row r="159" spans="2:12">
      <c r="B159" t="s">
        <v>38</v>
      </c>
      <c r="C159">
        <v>0</v>
      </c>
      <c r="H159" t="s">
        <v>38</v>
      </c>
      <c r="I159" t="s">
        <v>38</v>
      </c>
      <c r="J159" t="s">
        <v>38</v>
      </c>
      <c r="K159" t="s">
        <v>38</v>
      </c>
      <c r="L159" t="s">
        <v>38</v>
      </c>
    </row>
    <row r="160" spans="2:12">
      <c r="B160" t="s">
        <v>38</v>
      </c>
      <c r="C160">
        <v>0</v>
      </c>
      <c r="H160" t="s">
        <v>38</v>
      </c>
      <c r="I160" t="s">
        <v>38</v>
      </c>
      <c r="J160" t="s">
        <v>38</v>
      </c>
      <c r="K160" t="s">
        <v>38</v>
      </c>
      <c r="L160" t="s">
        <v>38</v>
      </c>
    </row>
    <row r="161" spans="2:12">
      <c r="B161" t="s">
        <v>38</v>
      </c>
      <c r="C161">
        <v>0</v>
      </c>
      <c r="H161" t="s">
        <v>38</v>
      </c>
      <c r="I161" t="s">
        <v>38</v>
      </c>
      <c r="J161" t="s">
        <v>38</v>
      </c>
      <c r="K161" t="s">
        <v>38</v>
      </c>
      <c r="L161" t="s">
        <v>38</v>
      </c>
    </row>
    <row r="162" spans="2:12">
      <c r="B162" t="s">
        <v>38</v>
      </c>
      <c r="C162">
        <v>0</v>
      </c>
      <c r="H162" t="s">
        <v>38</v>
      </c>
      <c r="I162" t="s">
        <v>38</v>
      </c>
      <c r="J162" t="s">
        <v>38</v>
      </c>
      <c r="K162" t="s">
        <v>38</v>
      </c>
      <c r="L162" t="s">
        <v>38</v>
      </c>
    </row>
    <row r="163" spans="2:12">
      <c r="B163" t="s">
        <v>38</v>
      </c>
      <c r="C163">
        <v>0</v>
      </c>
      <c r="H163" t="s">
        <v>38</v>
      </c>
      <c r="I163" t="s">
        <v>38</v>
      </c>
      <c r="J163" t="s">
        <v>38</v>
      </c>
      <c r="K163" t="s">
        <v>38</v>
      </c>
      <c r="L163" t="s">
        <v>38</v>
      </c>
    </row>
    <row r="164" spans="2:12">
      <c r="B164" t="s">
        <v>38</v>
      </c>
      <c r="C164">
        <v>0</v>
      </c>
      <c r="H164" t="s">
        <v>38</v>
      </c>
      <c r="I164" t="s">
        <v>38</v>
      </c>
      <c r="J164" t="s">
        <v>38</v>
      </c>
      <c r="K164" t="s">
        <v>38</v>
      </c>
      <c r="L164" t="s">
        <v>38</v>
      </c>
    </row>
    <row r="165" spans="2:12">
      <c r="B165" t="s">
        <v>38</v>
      </c>
      <c r="C165">
        <v>0</v>
      </c>
      <c r="H165" t="s">
        <v>38</v>
      </c>
      <c r="I165" t="s">
        <v>38</v>
      </c>
      <c r="J165" t="s">
        <v>38</v>
      </c>
      <c r="K165" t="s">
        <v>38</v>
      </c>
      <c r="L165" t="s">
        <v>38</v>
      </c>
    </row>
    <row r="166" spans="2:12">
      <c r="B166" t="s">
        <v>38</v>
      </c>
      <c r="C166">
        <v>0</v>
      </c>
      <c r="H166" t="s">
        <v>38</v>
      </c>
      <c r="I166" t="s">
        <v>38</v>
      </c>
      <c r="J166" t="s">
        <v>38</v>
      </c>
      <c r="K166" t="s">
        <v>38</v>
      </c>
      <c r="L166" t="s">
        <v>38</v>
      </c>
    </row>
    <row r="167" spans="2:12">
      <c r="B167" t="s">
        <v>38</v>
      </c>
      <c r="C167">
        <v>0</v>
      </c>
      <c r="H167" t="s">
        <v>38</v>
      </c>
      <c r="I167" t="s">
        <v>38</v>
      </c>
      <c r="J167" t="s">
        <v>38</v>
      </c>
      <c r="K167" t="s">
        <v>38</v>
      </c>
      <c r="L167" t="s">
        <v>38</v>
      </c>
    </row>
    <row r="168" spans="2:12">
      <c r="B168" t="s">
        <v>38</v>
      </c>
      <c r="C168">
        <v>0</v>
      </c>
      <c r="H168" t="s">
        <v>38</v>
      </c>
      <c r="I168" t="s">
        <v>38</v>
      </c>
      <c r="J168" t="s">
        <v>38</v>
      </c>
      <c r="K168" t="s">
        <v>38</v>
      </c>
      <c r="L168" t="s">
        <v>38</v>
      </c>
    </row>
    <row r="169" spans="2:12">
      <c r="B169" t="s">
        <v>38</v>
      </c>
      <c r="C169">
        <v>0</v>
      </c>
      <c r="H169" t="s">
        <v>38</v>
      </c>
      <c r="I169" t="s">
        <v>38</v>
      </c>
      <c r="J169" t="s">
        <v>38</v>
      </c>
      <c r="K169" t="s">
        <v>38</v>
      </c>
      <c r="L169" t="s">
        <v>38</v>
      </c>
    </row>
    <row r="170" spans="2:12">
      <c r="B170" t="s">
        <v>38</v>
      </c>
      <c r="C170">
        <v>0</v>
      </c>
      <c r="H170" t="s">
        <v>38</v>
      </c>
      <c r="I170" t="s">
        <v>38</v>
      </c>
      <c r="J170" t="s">
        <v>38</v>
      </c>
      <c r="K170" t="s">
        <v>38</v>
      </c>
      <c r="L170" t="s">
        <v>38</v>
      </c>
    </row>
    <row r="171" spans="2:12">
      <c r="B171" t="s">
        <v>38</v>
      </c>
      <c r="C171">
        <v>0</v>
      </c>
      <c r="H171" t="s">
        <v>38</v>
      </c>
      <c r="I171" t="s">
        <v>38</v>
      </c>
      <c r="J171" t="s">
        <v>38</v>
      </c>
      <c r="K171" t="s">
        <v>38</v>
      </c>
      <c r="L171" t="s">
        <v>38</v>
      </c>
    </row>
    <row r="172" spans="2:12">
      <c r="B172" t="s">
        <v>38</v>
      </c>
      <c r="C172">
        <v>0</v>
      </c>
      <c r="H172" t="s">
        <v>38</v>
      </c>
      <c r="I172" t="s">
        <v>38</v>
      </c>
      <c r="J172" t="s">
        <v>38</v>
      </c>
      <c r="K172" t="s">
        <v>38</v>
      </c>
      <c r="L172" t="s">
        <v>38</v>
      </c>
    </row>
    <row r="173" spans="2:12">
      <c r="B173" t="s">
        <v>38</v>
      </c>
      <c r="C173">
        <v>0</v>
      </c>
      <c r="H173" t="s">
        <v>38</v>
      </c>
      <c r="I173" t="s">
        <v>38</v>
      </c>
      <c r="J173" t="s">
        <v>38</v>
      </c>
      <c r="K173" t="s">
        <v>38</v>
      </c>
      <c r="L173" t="s">
        <v>38</v>
      </c>
    </row>
    <row r="174" spans="2:12">
      <c r="B174" t="s">
        <v>38</v>
      </c>
      <c r="C174">
        <v>0</v>
      </c>
      <c r="H174" t="s">
        <v>38</v>
      </c>
      <c r="I174" t="s">
        <v>38</v>
      </c>
      <c r="J174" t="s">
        <v>38</v>
      </c>
      <c r="K174" t="s">
        <v>38</v>
      </c>
      <c r="L174" t="s">
        <v>38</v>
      </c>
    </row>
    <row r="175" spans="2:12">
      <c r="B175" t="s">
        <v>38</v>
      </c>
      <c r="C175">
        <v>0</v>
      </c>
      <c r="H175" t="s">
        <v>38</v>
      </c>
      <c r="I175" t="s">
        <v>38</v>
      </c>
      <c r="J175" t="s">
        <v>38</v>
      </c>
      <c r="K175" t="s">
        <v>38</v>
      </c>
      <c r="L175" t="s">
        <v>38</v>
      </c>
    </row>
    <row r="176" spans="2:12">
      <c r="B176" t="s">
        <v>38</v>
      </c>
      <c r="C176">
        <v>0</v>
      </c>
      <c r="H176" t="s">
        <v>38</v>
      </c>
      <c r="I176" t="s">
        <v>38</v>
      </c>
      <c r="J176" t="s">
        <v>38</v>
      </c>
      <c r="K176" t="s">
        <v>38</v>
      </c>
      <c r="L176" t="s">
        <v>38</v>
      </c>
    </row>
    <row r="177" spans="1:16">
      <c r="B177" t="s">
        <v>38</v>
      </c>
      <c r="C177">
        <v>0</v>
      </c>
      <c r="H177" t="s">
        <v>38</v>
      </c>
      <c r="I177" t="s">
        <v>38</v>
      </c>
      <c r="J177" t="s">
        <v>38</v>
      </c>
      <c r="K177" t="s">
        <v>38</v>
      </c>
      <c r="L177" t="s">
        <v>38</v>
      </c>
    </row>
    <row r="178" spans="1:16">
      <c r="B178" t="s">
        <v>38</v>
      </c>
      <c r="C178">
        <v>0</v>
      </c>
      <c r="H178" t="s">
        <v>38</v>
      </c>
      <c r="I178" t="s">
        <v>38</v>
      </c>
      <c r="J178" t="s">
        <v>38</v>
      </c>
      <c r="K178" t="s">
        <v>38</v>
      </c>
      <c r="L178" t="s">
        <v>38</v>
      </c>
    </row>
    <row r="179" spans="1:16">
      <c r="B179" t="s">
        <v>38</v>
      </c>
      <c r="C179">
        <v>0</v>
      </c>
      <c r="H179" t="s">
        <v>38</v>
      </c>
      <c r="I179" t="s">
        <v>38</v>
      </c>
      <c r="J179" t="s">
        <v>38</v>
      </c>
      <c r="K179" t="s">
        <v>38</v>
      </c>
      <c r="L179" t="s">
        <v>38</v>
      </c>
    </row>
    <row r="180" spans="1:16">
      <c r="B180" t="s">
        <v>38</v>
      </c>
      <c r="C180">
        <v>0</v>
      </c>
      <c r="H180" t="s">
        <v>38</v>
      </c>
      <c r="I180" t="s">
        <v>38</v>
      </c>
      <c r="J180" t="s">
        <v>38</v>
      </c>
      <c r="K180" t="s">
        <v>38</v>
      </c>
      <c r="L180" t="s">
        <v>38</v>
      </c>
    </row>
    <row r="181" spans="1:16">
      <c r="B181" t="s">
        <v>38</v>
      </c>
      <c r="C181">
        <v>0</v>
      </c>
      <c r="H181" t="s">
        <v>38</v>
      </c>
      <c r="I181" t="s">
        <v>38</v>
      </c>
      <c r="J181" t="s">
        <v>38</v>
      </c>
      <c r="K181" t="s">
        <v>38</v>
      </c>
      <c r="L181" t="s">
        <v>38</v>
      </c>
    </row>
    <row r="182" spans="1:16">
      <c r="B182" t="s">
        <v>38</v>
      </c>
      <c r="C182">
        <v>0</v>
      </c>
      <c r="H182" t="s">
        <v>38</v>
      </c>
      <c r="I182" t="s">
        <v>38</v>
      </c>
      <c r="J182" t="s">
        <v>38</v>
      </c>
      <c r="K182" t="s">
        <v>38</v>
      </c>
      <c r="L182" t="s">
        <v>38</v>
      </c>
    </row>
    <row r="185" spans="1:16">
      <c r="A185" t="s">
        <v>92</v>
      </c>
      <c r="B185" t="s">
        <v>185</v>
      </c>
      <c r="C185">
        <v>1</v>
      </c>
      <c r="E185">
        <v>0</v>
      </c>
      <c r="H185" t="s">
        <v>38</v>
      </c>
      <c r="I185" t="s">
        <v>324</v>
      </c>
      <c r="J185" t="s">
        <v>38</v>
      </c>
      <c r="K185" t="s">
        <v>38</v>
      </c>
      <c r="L185" t="s">
        <v>38</v>
      </c>
      <c r="O185">
        <v>36</v>
      </c>
      <c r="P185">
        <v>46301.01</v>
      </c>
    </row>
    <row r="186" spans="1:16">
      <c r="B186" t="s">
        <v>173</v>
      </c>
      <c r="C186">
        <v>1</v>
      </c>
      <c r="E186">
        <v>1</v>
      </c>
      <c r="H186" t="s">
        <v>325</v>
      </c>
      <c r="I186" t="s">
        <v>324</v>
      </c>
      <c r="J186" t="s">
        <v>38</v>
      </c>
      <c r="K186" t="s">
        <v>326</v>
      </c>
      <c r="L186" t="s">
        <v>38</v>
      </c>
      <c r="M186" t="s">
        <v>306</v>
      </c>
    </row>
    <row r="187" spans="1:16">
      <c r="B187" t="s">
        <v>174</v>
      </c>
      <c r="C187">
        <v>1</v>
      </c>
      <c r="E187">
        <v>1</v>
      </c>
      <c r="H187" t="s">
        <v>325</v>
      </c>
      <c r="I187" t="s">
        <v>324</v>
      </c>
      <c r="J187" t="s">
        <v>38</v>
      </c>
      <c r="K187" t="s">
        <v>326</v>
      </c>
      <c r="L187" t="s">
        <v>38</v>
      </c>
      <c r="M187" t="s">
        <v>306</v>
      </c>
    </row>
    <row r="188" spans="1:16">
      <c r="B188" t="s">
        <v>175</v>
      </c>
      <c r="C188">
        <v>1</v>
      </c>
      <c r="E188">
        <v>1</v>
      </c>
      <c r="H188" t="s">
        <v>325</v>
      </c>
      <c r="I188" t="s">
        <v>324</v>
      </c>
      <c r="J188" t="s">
        <v>38</v>
      </c>
      <c r="K188" t="s">
        <v>326</v>
      </c>
      <c r="L188" t="s">
        <v>38</v>
      </c>
      <c r="M188" t="s">
        <v>306</v>
      </c>
    </row>
    <row r="189" spans="1:16">
      <c r="B189" t="s">
        <v>176</v>
      </c>
      <c r="C189">
        <v>1</v>
      </c>
      <c r="E189">
        <v>2</v>
      </c>
      <c r="H189" t="s">
        <v>325</v>
      </c>
      <c r="I189" t="s">
        <v>324</v>
      </c>
      <c r="J189" t="s">
        <v>38</v>
      </c>
      <c r="K189" t="s">
        <v>326</v>
      </c>
      <c r="L189" t="s">
        <v>38</v>
      </c>
      <c r="M189" t="s">
        <v>306</v>
      </c>
    </row>
    <row r="190" spans="1:16">
      <c r="B190" t="s">
        <v>183</v>
      </c>
      <c r="C190">
        <v>7</v>
      </c>
      <c r="E190">
        <v>1</v>
      </c>
      <c r="H190" t="s">
        <v>184</v>
      </c>
      <c r="I190" t="s">
        <v>324</v>
      </c>
      <c r="J190" t="s">
        <v>325</v>
      </c>
      <c r="K190" t="s">
        <v>326</v>
      </c>
      <c r="L190" t="s">
        <v>38</v>
      </c>
      <c r="M190" t="s">
        <v>306</v>
      </c>
    </row>
    <row r="191" spans="1:16">
      <c r="B191" t="s">
        <v>173</v>
      </c>
      <c r="C191">
        <v>1</v>
      </c>
      <c r="E191">
        <v>2</v>
      </c>
      <c r="H191" t="s">
        <v>325</v>
      </c>
      <c r="I191" t="s">
        <v>324</v>
      </c>
      <c r="J191" t="s">
        <v>38</v>
      </c>
      <c r="K191" t="s">
        <v>326</v>
      </c>
      <c r="L191" t="s">
        <v>38</v>
      </c>
      <c r="M191" t="s">
        <v>306</v>
      </c>
    </row>
    <row r="192" spans="1:16">
      <c r="B192" t="s">
        <v>174</v>
      </c>
      <c r="C192">
        <v>1</v>
      </c>
      <c r="E192">
        <v>2</v>
      </c>
      <c r="H192" t="s">
        <v>325</v>
      </c>
      <c r="I192" t="s">
        <v>324</v>
      </c>
      <c r="J192" t="s">
        <v>38</v>
      </c>
      <c r="K192" t="s">
        <v>326</v>
      </c>
      <c r="L192" t="s">
        <v>38</v>
      </c>
    </row>
    <row r="193" spans="2:12">
      <c r="B193" t="s">
        <v>175</v>
      </c>
      <c r="C193">
        <v>1</v>
      </c>
      <c r="E193">
        <v>3</v>
      </c>
      <c r="H193" t="s">
        <v>325</v>
      </c>
      <c r="I193" t="s">
        <v>324</v>
      </c>
      <c r="J193" t="s">
        <v>38</v>
      </c>
      <c r="K193" t="s">
        <v>326</v>
      </c>
      <c r="L193" t="s">
        <v>38</v>
      </c>
    </row>
    <row r="194" spans="2:12">
      <c r="B194" t="s">
        <v>176</v>
      </c>
      <c r="C194">
        <v>1</v>
      </c>
      <c r="E194">
        <v>3</v>
      </c>
      <c r="H194" t="s">
        <v>325</v>
      </c>
      <c r="I194" t="s">
        <v>324</v>
      </c>
      <c r="J194" t="s">
        <v>38</v>
      </c>
      <c r="K194" t="s">
        <v>326</v>
      </c>
      <c r="L194" t="s">
        <v>38</v>
      </c>
    </row>
    <row r="195" spans="2:12">
      <c r="B195" t="s">
        <v>183</v>
      </c>
      <c r="C195">
        <v>7</v>
      </c>
      <c r="E195">
        <v>3</v>
      </c>
      <c r="H195" t="s">
        <v>184</v>
      </c>
      <c r="I195" t="s">
        <v>324</v>
      </c>
      <c r="J195" t="s">
        <v>325</v>
      </c>
      <c r="K195" t="s">
        <v>326</v>
      </c>
      <c r="L195" t="s">
        <v>38</v>
      </c>
    </row>
    <row r="196" spans="2:12">
      <c r="B196" t="s">
        <v>177</v>
      </c>
      <c r="C196">
        <v>1</v>
      </c>
      <c r="E196">
        <v>4</v>
      </c>
      <c r="H196" t="s">
        <v>327</v>
      </c>
      <c r="I196" t="s">
        <v>328</v>
      </c>
      <c r="J196" t="s">
        <v>324</v>
      </c>
      <c r="K196" t="s">
        <v>326</v>
      </c>
      <c r="L196" t="s">
        <v>38</v>
      </c>
    </row>
    <row r="197" spans="2:12">
      <c r="B197" t="s">
        <v>178</v>
      </c>
      <c r="C197">
        <v>1</v>
      </c>
      <c r="E197">
        <v>4</v>
      </c>
      <c r="H197" t="s">
        <v>327</v>
      </c>
      <c r="I197" t="s">
        <v>328</v>
      </c>
      <c r="J197" t="s">
        <v>324</v>
      </c>
      <c r="K197" t="s">
        <v>326</v>
      </c>
      <c r="L197" t="s">
        <v>38</v>
      </c>
    </row>
    <row r="198" spans="2:12">
      <c r="B198" t="s">
        <v>179</v>
      </c>
      <c r="C198">
        <v>1</v>
      </c>
      <c r="E198">
        <v>4</v>
      </c>
      <c r="H198" t="s">
        <v>327</v>
      </c>
      <c r="I198" t="s">
        <v>328</v>
      </c>
      <c r="J198" t="s">
        <v>324</v>
      </c>
      <c r="K198" t="s">
        <v>326</v>
      </c>
      <c r="L198" t="s">
        <v>38</v>
      </c>
    </row>
    <row r="199" spans="2:12">
      <c r="B199" t="s">
        <v>180</v>
      </c>
      <c r="C199">
        <v>1</v>
      </c>
      <c r="E199">
        <v>4</v>
      </c>
      <c r="H199" t="s">
        <v>327</v>
      </c>
      <c r="I199" t="s">
        <v>328</v>
      </c>
      <c r="J199" t="s">
        <v>324</v>
      </c>
      <c r="K199" t="s">
        <v>326</v>
      </c>
      <c r="L199" t="s">
        <v>38</v>
      </c>
    </row>
    <row r="200" spans="2:12">
      <c r="B200" t="s">
        <v>181</v>
      </c>
      <c r="C200">
        <v>2</v>
      </c>
      <c r="E200">
        <v>5</v>
      </c>
      <c r="H200" t="s">
        <v>327</v>
      </c>
      <c r="I200" t="s">
        <v>328</v>
      </c>
      <c r="J200" t="s">
        <v>38</v>
      </c>
      <c r="K200" t="s">
        <v>326</v>
      </c>
      <c r="L200" t="s">
        <v>38</v>
      </c>
    </row>
    <row r="201" spans="2:12">
      <c r="B201" t="s">
        <v>182</v>
      </c>
      <c r="C201">
        <v>2</v>
      </c>
      <c r="E201">
        <v>5</v>
      </c>
      <c r="H201" t="s">
        <v>327</v>
      </c>
      <c r="I201" t="s">
        <v>328</v>
      </c>
      <c r="J201" t="s">
        <v>38</v>
      </c>
      <c r="K201" t="s">
        <v>38</v>
      </c>
      <c r="L201" t="s">
        <v>38</v>
      </c>
    </row>
    <row r="202" spans="2:12">
      <c r="B202" t="s">
        <v>183</v>
      </c>
      <c r="C202">
        <v>25</v>
      </c>
      <c r="E202">
        <v>5</v>
      </c>
      <c r="H202" t="s">
        <v>184</v>
      </c>
      <c r="I202" t="s">
        <v>38</v>
      </c>
      <c r="J202" t="s">
        <v>327</v>
      </c>
      <c r="K202" t="s">
        <v>328</v>
      </c>
      <c r="L202" t="s">
        <v>326</v>
      </c>
    </row>
    <row r="203" spans="2:12">
      <c r="B203" t="s">
        <v>177</v>
      </c>
      <c r="C203">
        <v>2</v>
      </c>
      <c r="E203">
        <v>5</v>
      </c>
      <c r="H203" t="s">
        <v>327</v>
      </c>
      <c r="I203" t="s">
        <v>328</v>
      </c>
      <c r="J203" t="s">
        <v>38</v>
      </c>
      <c r="K203" t="s">
        <v>326</v>
      </c>
      <c r="L203" t="s">
        <v>38</v>
      </c>
    </row>
    <row r="204" spans="2:12">
      <c r="B204" t="s">
        <v>178</v>
      </c>
      <c r="C204">
        <v>2</v>
      </c>
      <c r="E204">
        <v>5</v>
      </c>
      <c r="H204" t="s">
        <v>327</v>
      </c>
      <c r="I204" t="s">
        <v>328</v>
      </c>
      <c r="J204" t="s">
        <v>38</v>
      </c>
      <c r="K204" t="s">
        <v>326</v>
      </c>
      <c r="L204" t="s">
        <v>38</v>
      </c>
    </row>
    <row r="205" spans="2:12">
      <c r="B205" t="s">
        <v>179</v>
      </c>
      <c r="C205">
        <v>2</v>
      </c>
      <c r="E205">
        <v>5</v>
      </c>
      <c r="H205" t="s">
        <v>327</v>
      </c>
      <c r="I205" t="s">
        <v>328</v>
      </c>
      <c r="J205" t="s">
        <v>38</v>
      </c>
      <c r="K205" t="s">
        <v>326</v>
      </c>
      <c r="L205" t="s">
        <v>38</v>
      </c>
    </row>
    <row r="206" spans="2:12">
      <c r="B206" t="s">
        <v>180</v>
      </c>
      <c r="C206">
        <v>2</v>
      </c>
      <c r="E206">
        <v>5</v>
      </c>
      <c r="H206" t="s">
        <v>327</v>
      </c>
      <c r="I206" t="s">
        <v>328</v>
      </c>
      <c r="J206" t="s">
        <v>38</v>
      </c>
      <c r="K206" t="s">
        <v>326</v>
      </c>
      <c r="L206" t="s">
        <v>38</v>
      </c>
    </row>
    <row r="207" spans="2:12">
      <c r="B207" t="s">
        <v>63</v>
      </c>
      <c r="C207">
        <v>4</v>
      </c>
      <c r="E207">
        <v>5</v>
      </c>
      <c r="H207" t="s">
        <v>327</v>
      </c>
      <c r="I207" t="s">
        <v>328</v>
      </c>
      <c r="J207" t="s">
        <v>38</v>
      </c>
      <c r="K207" t="s">
        <v>38</v>
      </c>
      <c r="L207" t="s">
        <v>38</v>
      </c>
    </row>
    <row r="208" spans="2:12">
      <c r="B208" t="s">
        <v>131</v>
      </c>
      <c r="C208">
        <v>1</v>
      </c>
      <c r="E208">
        <v>5</v>
      </c>
      <c r="H208" t="s">
        <v>327</v>
      </c>
      <c r="I208" t="s">
        <v>328</v>
      </c>
      <c r="J208" t="s">
        <v>38</v>
      </c>
      <c r="K208" t="s">
        <v>38</v>
      </c>
      <c r="L208" t="s">
        <v>38</v>
      </c>
    </row>
    <row r="209" spans="2:13">
      <c r="B209" t="s">
        <v>186</v>
      </c>
      <c r="C209">
        <v>1</v>
      </c>
      <c r="E209">
        <v>5</v>
      </c>
      <c r="H209" t="s">
        <v>38</v>
      </c>
      <c r="I209" t="s">
        <v>38</v>
      </c>
      <c r="J209" t="s">
        <v>38</v>
      </c>
      <c r="K209" t="s">
        <v>38</v>
      </c>
      <c r="L209" t="s">
        <v>38</v>
      </c>
    </row>
    <row r="210" spans="2:13">
      <c r="B210" t="s">
        <v>185</v>
      </c>
      <c r="C210">
        <v>1</v>
      </c>
      <c r="E210">
        <v>5</v>
      </c>
      <c r="H210" t="s">
        <v>327</v>
      </c>
      <c r="I210" t="s">
        <v>38</v>
      </c>
      <c r="J210" t="s">
        <v>38</v>
      </c>
      <c r="K210" t="s">
        <v>38</v>
      </c>
      <c r="L210" t="s">
        <v>38</v>
      </c>
      <c r="M210" t="s">
        <v>306</v>
      </c>
    </row>
    <row r="211" spans="2:13">
      <c r="B211" t="s">
        <v>173</v>
      </c>
      <c r="C211">
        <v>1</v>
      </c>
      <c r="E211">
        <v>5</v>
      </c>
      <c r="G211">
        <v>1</v>
      </c>
      <c r="H211" t="s">
        <v>327</v>
      </c>
      <c r="I211" t="s">
        <v>38</v>
      </c>
      <c r="J211" t="s">
        <v>38</v>
      </c>
      <c r="K211" t="s">
        <v>326</v>
      </c>
      <c r="L211" t="s">
        <v>38</v>
      </c>
      <c r="M211" t="s">
        <v>306</v>
      </c>
    </row>
    <row r="212" spans="2:13">
      <c r="B212" t="s">
        <v>174</v>
      </c>
      <c r="C212">
        <v>1</v>
      </c>
      <c r="E212">
        <v>5</v>
      </c>
      <c r="G212">
        <v>1</v>
      </c>
      <c r="H212" t="s">
        <v>327</v>
      </c>
      <c r="I212" t="s">
        <v>38</v>
      </c>
      <c r="J212" t="s">
        <v>38</v>
      </c>
      <c r="K212" t="s">
        <v>326</v>
      </c>
      <c r="L212" t="s">
        <v>38</v>
      </c>
      <c r="M212" t="s">
        <v>306</v>
      </c>
    </row>
    <row r="213" spans="2:13">
      <c r="B213" t="s">
        <v>175</v>
      </c>
      <c r="C213">
        <v>1</v>
      </c>
      <c r="E213">
        <v>5</v>
      </c>
      <c r="G213">
        <v>1</v>
      </c>
      <c r="H213" t="s">
        <v>327</v>
      </c>
      <c r="I213" t="s">
        <v>38</v>
      </c>
      <c r="J213" t="s">
        <v>38</v>
      </c>
      <c r="K213" t="s">
        <v>326</v>
      </c>
      <c r="L213" t="s">
        <v>38</v>
      </c>
      <c r="M213" t="s">
        <v>306</v>
      </c>
    </row>
    <row r="214" spans="2:13">
      <c r="B214" t="s">
        <v>176</v>
      </c>
      <c r="C214">
        <v>1</v>
      </c>
      <c r="E214">
        <v>5</v>
      </c>
      <c r="G214">
        <v>1</v>
      </c>
      <c r="H214" t="s">
        <v>327</v>
      </c>
      <c r="I214" t="s">
        <v>38</v>
      </c>
      <c r="J214" t="s">
        <v>38</v>
      </c>
      <c r="K214" t="s">
        <v>326</v>
      </c>
      <c r="L214" t="s">
        <v>38</v>
      </c>
      <c r="M214" t="s">
        <v>306</v>
      </c>
    </row>
    <row r="215" spans="2:13">
      <c r="B215" t="s">
        <v>183</v>
      </c>
      <c r="C215">
        <v>8</v>
      </c>
      <c r="E215">
        <v>5</v>
      </c>
      <c r="G215">
        <v>1</v>
      </c>
      <c r="H215" t="s">
        <v>184</v>
      </c>
      <c r="I215" t="s">
        <v>38</v>
      </c>
      <c r="J215" t="s">
        <v>327</v>
      </c>
      <c r="K215" t="s">
        <v>326</v>
      </c>
      <c r="L215" t="s">
        <v>38</v>
      </c>
      <c r="M215" t="s">
        <v>306</v>
      </c>
    </row>
    <row r="216" spans="2:13">
      <c r="B216" t="s">
        <v>63</v>
      </c>
      <c r="C216">
        <v>1</v>
      </c>
      <c r="E216">
        <v>5</v>
      </c>
      <c r="G216">
        <v>1</v>
      </c>
      <c r="H216" t="s">
        <v>327</v>
      </c>
      <c r="I216" t="s">
        <v>38</v>
      </c>
      <c r="J216" t="s">
        <v>38</v>
      </c>
      <c r="K216" t="s">
        <v>38</v>
      </c>
      <c r="L216" t="s">
        <v>38</v>
      </c>
      <c r="M216" t="s">
        <v>306</v>
      </c>
    </row>
    <row r="217" spans="2:13">
      <c r="B217" t="s">
        <v>177</v>
      </c>
      <c r="C217">
        <v>4</v>
      </c>
      <c r="D217">
        <v>1</v>
      </c>
      <c r="E217">
        <v>5</v>
      </c>
      <c r="F217">
        <v>5</v>
      </c>
      <c r="G217">
        <v>1</v>
      </c>
      <c r="H217" t="s">
        <v>327</v>
      </c>
      <c r="I217" t="s">
        <v>328</v>
      </c>
      <c r="J217" t="s">
        <v>324</v>
      </c>
      <c r="K217" t="s">
        <v>326</v>
      </c>
      <c r="L217" t="s">
        <v>38</v>
      </c>
      <c r="M217" t="s">
        <v>306</v>
      </c>
    </row>
    <row r="218" spans="2:13">
      <c r="B218" t="s">
        <v>178</v>
      </c>
      <c r="C218">
        <v>4</v>
      </c>
      <c r="D218">
        <v>1</v>
      </c>
      <c r="E218">
        <v>5</v>
      </c>
      <c r="F218">
        <v>5</v>
      </c>
      <c r="G218">
        <v>1</v>
      </c>
      <c r="H218" t="s">
        <v>327</v>
      </c>
      <c r="I218" t="s">
        <v>328</v>
      </c>
      <c r="J218" t="s">
        <v>324</v>
      </c>
      <c r="K218" t="s">
        <v>326</v>
      </c>
      <c r="L218" t="s">
        <v>38</v>
      </c>
    </row>
    <row r="219" spans="2:13">
      <c r="B219" t="s">
        <v>179</v>
      </c>
      <c r="C219">
        <v>4</v>
      </c>
      <c r="D219">
        <v>1</v>
      </c>
      <c r="E219">
        <v>5</v>
      </c>
      <c r="F219">
        <v>5</v>
      </c>
      <c r="G219">
        <v>1</v>
      </c>
      <c r="H219" t="s">
        <v>327</v>
      </c>
      <c r="I219" t="s">
        <v>328</v>
      </c>
      <c r="J219" t="s">
        <v>324</v>
      </c>
      <c r="K219" t="s">
        <v>326</v>
      </c>
      <c r="L219" t="s">
        <v>38</v>
      </c>
    </row>
    <row r="220" spans="2:13">
      <c r="B220" t="s">
        <v>182</v>
      </c>
      <c r="C220">
        <v>3</v>
      </c>
      <c r="D220">
        <v>1</v>
      </c>
      <c r="E220">
        <v>5</v>
      </c>
      <c r="F220">
        <v>5</v>
      </c>
      <c r="G220">
        <v>1</v>
      </c>
      <c r="H220" t="s">
        <v>327</v>
      </c>
      <c r="I220" t="s">
        <v>328</v>
      </c>
      <c r="J220" t="s">
        <v>324</v>
      </c>
      <c r="K220" t="s">
        <v>38</v>
      </c>
      <c r="L220" t="s">
        <v>38</v>
      </c>
    </row>
    <row r="221" spans="2:13">
      <c r="B221" t="s">
        <v>180</v>
      </c>
      <c r="C221">
        <v>1</v>
      </c>
      <c r="D221">
        <v>1</v>
      </c>
      <c r="E221">
        <v>5</v>
      </c>
      <c r="F221">
        <v>5</v>
      </c>
      <c r="G221">
        <v>1</v>
      </c>
      <c r="H221" t="s">
        <v>327</v>
      </c>
      <c r="I221" t="s">
        <v>328</v>
      </c>
      <c r="J221" t="s">
        <v>324</v>
      </c>
      <c r="K221" t="s">
        <v>326</v>
      </c>
      <c r="L221" t="s">
        <v>38</v>
      </c>
    </row>
    <row r="222" spans="2:13">
      <c r="B222" t="s">
        <v>181</v>
      </c>
      <c r="C222">
        <v>1</v>
      </c>
      <c r="D222">
        <v>1</v>
      </c>
      <c r="E222">
        <v>5</v>
      </c>
      <c r="F222">
        <v>5</v>
      </c>
      <c r="G222">
        <v>1</v>
      </c>
      <c r="H222" t="s">
        <v>327</v>
      </c>
      <c r="I222" t="s">
        <v>328</v>
      </c>
      <c r="J222" t="s">
        <v>324</v>
      </c>
      <c r="K222" t="s">
        <v>326</v>
      </c>
      <c r="L222" t="s">
        <v>38</v>
      </c>
    </row>
    <row r="223" spans="2:13">
      <c r="B223" t="s">
        <v>131</v>
      </c>
      <c r="C223">
        <v>1</v>
      </c>
      <c r="E223">
        <v>5</v>
      </c>
      <c r="H223" t="s">
        <v>38</v>
      </c>
      <c r="I223" t="s">
        <v>38</v>
      </c>
      <c r="J223" t="s">
        <v>324</v>
      </c>
      <c r="K223" t="s">
        <v>38</v>
      </c>
      <c r="L223" t="s">
        <v>38</v>
      </c>
    </row>
    <row r="224" spans="2:13">
      <c r="B224" t="s">
        <v>131</v>
      </c>
      <c r="C224">
        <v>1</v>
      </c>
      <c r="D224">
        <v>1</v>
      </c>
      <c r="E224">
        <v>5</v>
      </c>
      <c r="F224">
        <v>5</v>
      </c>
      <c r="G224">
        <v>1</v>
      </c>
      <c r="H224" t="s">
        <v>327</v>
      </c>
      <c r="I224" t="s">
        <v>38</v>
      </c>
      <c r="J224" t="s">
        <v>38</v>
      </c>
      <c r="K224" t="s">
        <v>38</v>
      </c>
      <c r="L224" t="s">
        <v>38</v>
      </c>
    </row>
    <row r="225" spans="2:12">
      <c r="B225" t="s">
        <v>127</v>
      </c>
      <c r="C225">
        <v>6</v>
      </c>
      <c r="E225">
        <v>5</v>
      </c>
      <c r="H225" t="s">
        <v>38</v>
      </c>
      <c r="I225" t="s">
        <v>38</v>
      </c>
      <c r="J225" t="s">
        <v>38</v>
      </c>
      <c r="K225" t="s">
        <v>38</v>
      </c>
      <c r="L225" t="s">
        <v>38</v>
      </c>
    </row>
    <row r="226" spans="2:12">
      <c r="B226" t="s">
        <v>127</v>
      </c>
      <c r="C226">
        <v>29</v>
      </c>
      <c r="E226">
        <v>5</v>
      </c>
      <c r="H226" t="s">
        <v>38</v>
      </c>
      <c r="I226" t="s">
        <v>38</v>
      </c>
      <c r="J226" t="s">
        <v>38</v>
      </c>
      <c r="K226" t="s">
        <v>38</v>
      </c>
      <c r="L226" t="s">
        <v>38</v>
      </c>
    </row>
    <row r="227" spans="2:12">
      <c r="B227" t="s">
        <v>128</v>
      </c>
      <c r="C227">
        <v>6</v>
      </c>
      <c r="E227">
        <v>5</v>
      </c>
      <c r="H227" t="s">
        <v>38</v>
      </c>
      <c r="I227" t="s">
        <v>38</v>
      </c>
      <c r="J227" t="s">
        <v>38</v>
      </c>
      <c r="K227" t="s">
        <v>38</v>
      </c>
      <c r="L227" t="s">
        <v>38</v>
      </c>
    </row>
    <row r="228" spans="2:12">
      <c r="B228" t="s">
        <v>128</v>
      </c>
      <c r="C228">
        <v>29</v>
      </c>
      <c r="E228">
        <v>5</v>
      </c>
      <c r="H228" t="s">
        <v>38</v>
      </c>
      <c r="I228" t="s">
        <v>38</v>
      </c>
      <c r="J228" t="s">
        <v>38</v>
      </c>
      <c r="K228" t="s">
        <v>38</v>
      </c>
      <c r="L228" t="s">
        <v>38</v>
      </c>
    </row>
    <row r="229" spans="2:12">
      <c r="B229" t="s">
        <v>183</v>
      </c>
      <c r="C229">
        <v>30</v>
      </c>
      <c r="D229">
        <v>1</v>
      </c>
      <c r="E229">
        <v>5</v>
      </c>
      <c r="F229">
        <v>5</v>
      </c>
      <c r="G229">
        <v>1</v>
      </c>
      <c r="H229" t="s">
        <v>184</v>
      </c>
      <c r="I229" t="s">
        <v>324</v>
      </c>
      <c r="J229" t="s">
        <v>327</v>
      </c>
      <c r="K229" t="s">
        <v>328</v>
      </c>
      <c r="L229" t="s">
        <v>326</v>
      </c>
    </row>
    <row r="230" spans="2:12">
      <c r="B230" t="s">
        <v>186</v>
      </c>
      <c r="C230">
        <v>1</v>
      </c>
      <c r="E230">
        <v>5</v>
      </c>
      <c r="H230" t="s">
        <v>38</v>
      </c>
      <c r="I230" t="s">
        <v>38</v>
      </c>
      <c r="J230" t="s">
        <v>38</v>
      </c>
      <c r="K230" t="s">
        <v>38</v>
      </c>
      <c r="L230" t="s">
        <v>38</v>
      </c>
    </row>
    <row r="231" spans="2:12">
      <c r="B231" t="s">
        <v>63</v>
      </c>
      <c r="C231">
        <v>4</v>
      </c>
      <c r="D231">
        <v>1</v>
      </c>
      <c r="E231">
        <v>5</v>
      </c>
      <c r="F231">
        <v>5</v>
      </c>
      <c r="G231">
        <v>1</v>
      </c>
      <c r="H231" t="s">
        <v>327</v>
      </c>
      <c r="I231" t="s">
        <v>328</v>
      </c>
      <c r="J231" t="s">
        <v>38</v>
      </c>
      <c r="K231" t="s">
        <v>38</v>
      </c>
      <c r="L231" t="s">
        <v>38</v>
      </c>
    </row>
    <row r="232" spans="2:12">
      <c r="B232" t="s">
        <v>137</v>
      </c>
      <c r="C232">
        <v>1</v>
      </c>
      <c r="E232">
        <v>5</v>
      </c>
      <c r="F232">
        <v>5</v>
      </c>
      <c r="H232" t="s">
        <v>327</v>
      </c>
      <c r="I232" t="s">
        <v>38</v>
      </c>
      <c r="J232" t="s">
        <v>38</v>
      </c>
      <c r="K232" t="s">
        <v>38</v>
      </c>
      <c r="L232" t="s">
        <v>38</v>
      </c>
    </row>
    <row r="233" spans="2:12">
      <c r="B233" t="s">
        <v>153</v>
      </c>
      <c r="C233">
        <v>1</v>
      </c>
      <c r="E233">
        <v>1</v>
      </c>
      <c r="H233" t="s">
        <v>325</v>
      </c>
      <c r="I233" t="s">
        <v>38</v>
      </c>
      <c r="J233" t="s">
        <v>38</v>
      </c>
      <c r="K233" t="s">
        <v>324</v>
      </c>
      <c r="L233" t="s">
        <v>38</v>
      </c>
    </row>
    <row r="234" spans="2:12">
      <c r="B234" t="s">
        <v>153</v>
      </c>
      <c r="C234">
        <v>1</v>
      </c>
      <c r="E234">
        <v>2</v>
      </c>
      <c r="H234" t="s">
        <v>325</v>
      </c>
      <c r="I234" t="s">
        <v>38</v>
      </c>
      <c r="J234" t="s">
        <v>38</v>
      </c>
      <c r="K234" t="s">
        <v>324</v>
      </c>
      <c r="L234" t="s">
        <v>38</v>
      </c>
    </row>
    <row r="235" spans="2:12">
      <c r="B235" t="s">
        <v>153</v>
      </c>
      <c r="C235">
        <v>1</v>
      </c>
      <c r="E235">
        <v>4</v>
      </c>
      <c r="H235" t="s">
        <v>327</v>
      </c>
      <c r="I235" t="s">
        <v>328</v>
      </c>
      <c r="J235" t="s">
        <v>38</v>
      </c>
      <c r="K235" t="s">
        <v>324</v>
      </c>
      <c r="L235" t="s">
        <v>38</v>
      </c>
    </row>
    <row r="236" spans="2:12">
      <c r="B236" t="s">
        <v>153</v>
      </c>
      <c r="C236">
        <v>2</v>
      </c>
      <c r="E236">
        <v>5</v>
      </c>
      <c r="H236" t="s">
        <v>327</v>
      </c>
      <c r="I236" t="s">
        <v>328</v>
      </c>
      <c r="J236" t="s">
        <v>38</v>
      </c>
      <c r="K236" t="s">
        <v>324</v>
      </c>
      <c r="L236" t="s">
        <v>38</v>
      </c>
    </row>
    <row r="237" spans="2:12">
      <c r="B237" t="s">
        <v>153</v>
      </c>
      <c r="C237">
        <v>5</v>
      </c>
      <c r="D237">
        <v>1</v>
      </c>
      <c r="E237">
        <v>5</v>
      </c>
      <c r="F237">
        <v>5</v>
      </c>
      <c r="G237">
        <v>1</v>
      </c>
      <c r="H237" t="s">
        <v>327</v>
      </c>
      <c r="I237" t="s">
        <v>328</v>
      </c>
      <c r="J237" t="s">
        <v>38</v>
      </c>
      <c r="K237" t="s">
        <v>324</v>
      </c>
      <c r="L237" t="s">
        <v>38</v>
      </c>
    </row>
    <row r="238" spans="2:12">
      <c r="B238" t="s">
        <v>38</v>
      </c>
      <c r="C238">
        <v>1</v>
      </c>
      <c r="H238" t="s">
        <v>38</v>
      </c>
      <c r="I238" t="s">
        <v>38</v>
      </c>
      <c r="J238" t="s">
        <v>38</v>
      </c>
      <c r="K238" t="s">
        <v>38</v>
      </c>
      <c r="L238" t="s">
        <v>38</v>
      </c>
    </row>
    <row r="239" spans="2:12">
      <c r="B239" t="s">
        <v>38</v>
      </c>
      <c r="C239">
        <v>1</v>
      </c>
      <c r="H239" t="s">
        <v>38</v>
      </c>
      <c r="I239" t="s">
        <v>38</v>
      </c>
      <c r="J239" t="s">
        <v>38</v>
      </c>
      <c r="K239" t="s">
        <v>38</v>
      </c>
      <c r="L239" t="s">
        <v>38</v>
      </c>
    </row>
    <row r="240" spans="2:12">
      <c r="B240" t="s">
        <v>38</v>
      </c>
      <c r="C240">
        <v>1</v>
      </c>
      <c r="H240" t="s">
        <v>38</v>
      </c>
      <c r="I240" t="s">
        <v>38</v>
      </c>
      <c r="J240" t="s">
        <v>38</v>
      </c>
      <c r="K240" t="s">
        <v>38</v>
      </c>
      <c r="L240" t="s">
        <v>38</v>
      </c>
    </row>
    <row r="241" spans="2:12">
      <c r="B241" t="s">
        <v>38</v>
      </c>
      <c r="C241">
        <v>1</v>
      </c>
      <c r="H241" t="s">
        <v>38</v>
      </c>
      <c r="I241" t="s">
        <v>38</v>
      </c>
      <c r="J241" t="s">
        <v>38</v>
      </c>
      <c r="K241" t="s">
        <v>38</v>
      </c>
      <c r="L241" t="s">
        <v>38</v>
      </c>
    </row>
    <row r="242" spans="2:12">
      <c r="B242" t="s">
        <v>38</v>
      </c>
      <c r="C242">
        <v>1</v>
      </c>
      <c r="H242" t="s">
        <v>38</v>
      </c>
      <c r="I242" t="s">
        <v>38</v>
      </c>
      <c r="J242" t="s">
        <v>38</v>
      </c>
      <c r="K242" t="s">
        <v>38</v>
      </c>
      <c r="L242" t="s">
        <v>38</v>
      </c>
    </row>
    <row r="243" spans="2:12">
      <c r="B243" t="s">
        <v>38</v>
      </c>
      <c r="C243">
        <v>1</v>
      </c>
      <c r="H243" t="s">
        <v>38</v>
      </c>
      <c r="I243" t="s">
        <v>38</v>
      </c>
      <c r="J243" t="s">
        <v>38</v>
      </c>
      <c r="K243" t="s">
        <v>38</v>
      </c>
      <c r="L243" t="s">
        <v>38</v>
      </c>
    </row>
    <row r="244" spans="2:12">
      <c r="B244" t="s">
        <v>38</v>
      </c>
      <c r="C244">
        <v>1</v>
      </c>
      <c r="H244" t="s">
        <v>38</v>
      </c>
      <c r="I244" t="s">
        <v>38</v>
      </c>
      <c r="J244" t="s">
        <v>38</v>
      </c>
      <c r="K244" t="s">
        <v>38</v>
      </c>
      <c r="L244" t="s">
        <v>38</v>
      </c>
    </row>
    <row r="245" spans="2:12">
      <c r="B245" t="s">
        <v>38</v>
      </c>
      <c r="C245">
        <v>1</v>
      </c>
      <c r="H245" t="s">
        <v>38</v>
      </c>
      <c r="I245" t="s">
        <v>38</v>
      </c>
      <c r="J245" t="s">
        <v>38</v>
      </c>
      <c r="K245" t="s">
        <v>38</v>
      </c>
      <c r="L245" t="s">
        <v>38</v>
      </c>
    </row>
    <row r="246" spans="2:12">
      <c r="B246" t="s">
        <v>38</v>
      </c>
      <c r="C246">
        <v>1</v>
      </c>
      <c r="H246" t="s">
        <v>38</v>
      </c>
      <c r="I246" t="s">
        <v>38</v>
      </c>
      <c r="J246" t="s">
        <v>38</v>
      </c>
      <c r="K246" t="s">
        <v>38</v>
      </c>
      <c r="L246" t="s">
        <v>38</v>
      </c>
    </row>
    <row r="247" spans="2:12">
      <c r="B247" t="s">
        <v>38</v>
      </c>
      <c r="C247">
        <v>1</v>
      </c>
      <c r="H247" t="s">
        <v>38</v>
      </c>
      <c r="I247" t="s">
        <v>38</v>
      </c>
      <c r="J247" t="s">
        <v>38</v>
      </c>
      <c r="K247" t="s">
        <v>38</v>
      </c>
      <c r="L247" t="s">
        <v>38</v>
      </c>
    </row>
    <row r="248" spans="2:12">
      <c r="B248" t="s">
        <v>38</v>
      </c>
      <c r="C248">
        <v>1</v>
      </c>
      <c r="H248" t="s">
        <v>38</v>
      </c>
      <c r="I248" t="s">
        <v>38</v>
      </c>
      <c r="J248" t="s">
        <v>38</v>
      </c>
      <c r="K248" t="s">
        <v>38</v>
      </c>
      <c r="L248" t="s">
        <v>38</v>
      </c>
    </row>
    <row r="249" spans="2:12">
      <c r="B249" t="s">
        <v>38</v>
      </c>
      <c r="C249">
        <v>1</v>
      </c>
      <c r="H249" t="s">
        <v>38</v>
      </c>
      <c r="I249" t="s">
        <v>38</v>
      </c>
      <c r="J249" t="s">
        <v>38</v>
      </c>
      <c r="K249" t="s">
        <v>38</v>
      </c>
      <c r="L249" t="s">
        <v>38</v>
      </c>
    </row>
    <row r="250" spans="2:12">
      <c r="B250" t="s">
        <v>38</v>
      </c>
      <c r="C250">
        <v>1</v>
      </c>
      <c r="H250" t="s">
        <v>38</v>
      </c>
      <c r="I250" t="s">
        <v>38</v>
      </c>
      <c r="J250" t="s">
        <v>38</v>
      </c>
      <c r="K250" t="s">
        <v>38</v>
      </c>
      <c r="L250" t="s">
        <v>38</v>
      </c>
    </row>
    <row r="251" spans="2:12">
      <c r="B251" t="s">
        <v>38</v>
      </c>
      <c r="C251">
        <v>1</v>
      </c>
      <c r="H251" t="s">
        <v>38</v>
      </c>
      <c r="I251" t="s">
        <v>38</v>
      </c>
      <c r="J251" t="s">
        <v>38</v>
      </c>
      <c r="K251" t="s">
        <v>38</v>
      </c>
      <c r="L251" t="s">
        <v>38</v>
      </c>
    </row>
    <row r="252" spans="2:12">
      <c r="B252" t="s">
        <v>38</v>
      </c>
      <c r="C252">
        <v>1</v>
      </c>
      <c r="H252" t="s">
        <v>38</v>
      </c>
      <c r="I252" t="s">
        <v>38</v>
      </c>
      <c r="J252" t="s">
        <v>38</v>
      </c>
      <c r="K252" t="s">
        <v>38</v>
      </c>
      <c r="L252" t="s">
        <v>38</v>
      </c>
    </row>
    <row r="253" spans="2:12">
      <c r="B253" t="s">
        <v>38</v>
      </c>
      <c r="C253">
        <v>1</v>
      </c>
      <c r="H253" t="s">
        <v>38</v>
      </c>
      <c r="I253" t="s">
        <v>38</v>
      </c>
      <c r="J253" t="s">
        <v>38</v>
      </c>
      <c r="K253" t="s">
        <v>38</v>
      </c>
      <c r="L253" t="s">
        <v>38</v>
      </c>
    </row>
    <row r="254" spans="2:12">
      <c r="B254" t="s">
        <v>38</v>
      </c>
      <c r="C254">
        <v>1</v>
      </c>
      <c r="H254" t="s">
        <v>38</v>
      </c>
      <c r="I254" t="s">
        <v>38</v>
      </c>
      <c r="J254" t="s">
        <v>38</v>
      </c>
      <c r="K254" t="s">
        <v>38</v>
      </c>
      <c r="L254" t="s">
        <v>38</v>
      </c>
    </row>
    <row r="255" spans="2:12">
      <c r="B255" t="s">
        <v>38</v>
      </c>
      <c r="C255">
        <v>1</v>
      </c>
      <c r="H255" t="s">
        <v>38</v>
      </c>
      <c r="I255" t="s">
        <v>38</v>
      </c>
      <c r="J255" t="s">
        <v>38</v>
      </c>
      <c r="K255" t="s">
        <v>38</v>
      </c>
      <c r="L255" t="s">
        <v>38</v>
      </c>
    </row>
    <row r="256" spans="2:12">
      <c r="B256" t="s">
        <v>38</v>
      </c>
      <c r="C256">
        <v>1</v>
      </c>
      <c r="H256" t="s">
        <v>38</v>
      </c>
      <c r="I256" t="s">
        <v>38</v>
      </c>
      <c r="J256" t="s">
        <v>38</v>
      </c>
      <c r="K256" t="s">
        <v>38</v>
      </c>
      <c r="L256" t="s">
        <v>38</v>
      </c>
    </row>
    <row r="257" spans="2:12">
      <c r="B257" t="s">
        <v>38</v>
      </c>
      <c r="C257">
        <v>1</v>
      </c>
      <c r="H257" t="s">
        <v>38</v>
      </c>
      <c r="I257" t="s">
        <v>38</v>
      </c>
      <c r="J257" t="s">
        <v>38</v>
      </c>
      <c r="K257" t="s">
        <v>38</v>
      </c>
      <c r="L257" t="s">
        <v>38</v>
      </c>
    </row>
    <row r="258" spans="2:12">
      <c r="B258" t="s">
        <v>38</v>
      </c>
      <c r="C258">
        <v>2</v>
      </c>
      <c r="H258" t="s">
        <v>38</v>
      </c>
      <c r="I258" t="s">
        <v>38</v>
      </c>
      <c r="J258" t="s">
        <v>38</v>
      </c>
      <c r="K258" t="s">
        <v>38</v>
      </c>
      <c r="L258" t="s">
        <v>38</v>
      </c>
    </row>
    <row r="259" spans="2:12">
      <c r="B259" t="s">
        <v>38</v>
      </c>
      <c r="C259">
        <v>1</v>
      </c>
      <c r="H259" t="s">
        <v>38</v>
      </c>
      <c r="I259" t="s">
        <v>38</v>
      </c>
      <c r="J259" t="s">
        <v>38</v>
      </c>
      <c r="K259" t="s">
        <v>38</v>
      </c>
      <c r="L259" t="s">
        <v>38</v>
      </c>
    </row>
    <row r="260" spans="2:12">
      <c r="B260" t="s">
        <v>38</v>
      </c>
      <c r="C260">
        <v>1</v>
      </c>
      <c r="H260" t="s">
        <v>38</v>
      </c>
      <c r="I260" t="s">
        <v>38</v>
      </c>
      <c r="J260" t="s">
        <v>38</v>
      </c>
      <c r="K260" t="s">
        <v>38</v>
      </c>
      <c r="L260" t="s">
        <v>38</v>
      </c>
    </row>
    <row r="261" spans="2:12">
      <c r="B261" t="s">
        <v>38</v>
      </c>
      <c r="C261">
        <v>1</v>
      </c>
      <c r="H261" t="s">
        <v>38</v>
      </c>
      <c r="I261" t="s">
        <v>38</v>
      </c>
      <c r="J261" t="s">
        <v>38</v>
      </c>
      <c r="K261" t="s">
        <v>38</v>
      </c>
      <c r="L261" t="s">
        <v>38</v>
      </c>
    </row>
    <row r="262" spans="2:12">
      <c r="B262" t="s">
        <v>38</v>
      </c>
      <c r="C262">
        <v>1</v>
      </c>
      <c r="H262" t="s">
        <v>38</v>
      </c>
      <c r="I262" t="s">
        <v>38</v>
      </c>
      <c r="J262" t="s">
        <v>38</v>
      </c>
      <c r="K262" t="s">
        <v>38</v>
      </c>
      <c r="L262" t="s">
        <v>38</v>
      </c>
    </row>
    <row r="263" spans="2:12">
      <c r="B263" t="s">
        <v>38</v>
      </c>
      <c r="C263">
        <v>1</v>
      </c>
      <c r="H263" t="s">
        <v>38</v>
      </c>
      <c r="I263" t="s">
        <v>38</v>
      </c>
      <c r="J263" t="s">
        <v>38</v>
      </c>
      <c r="K263" t="s">
        <v>38</v>
      </c>
      <c r="L263" t="s">
        <v>38</v>
      </c>
    </row>
    <row r="264" spans="2:12">
      <c r="B264" t="s">
        <v>38</v>
      </c>
      <c r="C264">
        <v>1</v>
      </c>
      <c r="H264" t="s">
        <v>38</v>
      </c>
      <c r="I264" t="s">
        <v>38</v>
      </c>
      <c r="J264" t="s">
        <v>38</v>
      </c>
      <c r="K264" t="s">
        <v>38</v>
      </c>
      <c r="L264" t="s">
        <v>38</v>
      </c>
    </row>
    <row r="265" spans="2:12">
      <c r="B265" t="s">
        <v>38</v>
      </c>
      <c r="C265">
        <v>1</v>
      </c>
      <c r="H265" t="s">
        <v>38</v>
      </c>
      <c r="I265" t="s">
        <v>38</v>
      </c>
      <c r="J265" t="s">
        <v>38</v>
      </c>
      <c r="K265" t="s">
        <v>38</v>
      </c>
      <c r="L265" t="s">
        <v>38</v>
      </c>
    </row>
    <row r="266" spans="2:12">
      <c r="B266" t="s">
        <v>38</v>
      </c>
      <c r="C266">
        <v>1</v>
      </c>
      <c r="H266" t="s">
        <v>38</v>
      </c>
      <c r="I266" t="s">
        <v>38</v>
      </c>
      <c r="J266" t="s">
        <v>38</v>
      </c>
      <c r="K266" t="s">
        <v>38</v>
      </c>
      <c r="L266" t="s">
        <v>38</v>
      </c>
    </row>
    <row r="267" spans="2:12">
      <c r="B267" t="s">
        <v>38</v>
      </c>
      <c r="C267">
        <v>1</v>
      </c>
      <c r="H267" t="s">
        <v>38</v>
      </c>
      <c r="I267" t="s">
        <v>38</v>
      </c>
      <c r="J267" t="s">
        <v>38</v>
      </c>
      <c r="K267" t="s">
        <v>38</v>
      </c>
      <c r="L267" t="s">
        <v>38</v>
      </c>
    </row>
    <row r="268" spans="2:12">
      <c r="B268" t="s">
        <v>38</v>
      </c>
      <c r="C268">
        <v>1</v>
      </c>
      <c r="H268" t="s">
        <v>38</v>
      </c>
      <c r="I268" t="s">
        <v>38</v>
      </c>
      <c r="J268" t="s">
        <v>38</v>
      </c>
      <c r="K268" t="s">
        <v>38</v>
      </c>
      <c r="L268" t="s">
        <v>38</v>
      </c>
    </row>
    <row r="269" spans="2:12">
      <c r="B269" t="s">
        <v>38</v>
      </c>
      <c r="C269">
        <v>1</v>
      </c>
      <c r="H269" t="s">
        <v>38</v>
      </c>
      <c r="I269" t="s">
        <v>38</v>
      </c>
      <c r="J269" t="s">
        <v>38</v>
      </c>
      <c r="K269" t="s">
        <v>38</v>
      </c>
      <c r="L269" t="s">
        <v>38</v>
      </c>
    </row>
    <row r="270" spans="2:12">
      <c r="B270" t="s">
        <v>38</v>
      </c>
      <c r="C270">
        <v>1</v>
      </c>
      <c r="H270" t="s">
        <v>38</v>
      </c>
      <c r="I270" t="s">
        <v>38</v>
      </c>
      <c r="J270" t="s">
        <v>38</v>
      </c>
      <c r="K270" t="s">
        <v>38</v>
      </c>
      <c r="L270" t="s">
        <v>38</v>
      </c>
    </row>
    <row r="271" spans="2:12">
      <c r="B271" t="s">
        <v>38</v>
      </c>
      <c r="C271">
        <v>1</v>
      </c>
      <c r="H271" t="s">
        <v>38</v>
      </c>
      <c r="I271" t="s">
        <v>38</v>
      </c>
      <c r="J271" t="s">
        <v>38</v>
      </c>
      <c r="K271" t="s">
        <v>38</v>
      </c>
      <c r="L271" t="s">
        <v>38</v>
      </c>
    </row>
    <row r="272" spans="2:12">
      <c r="B272" t="s">
        <v>38</v>
      </c>
      <c r="C272">
        <v>1</v>
      </c>
      <c r="H272" t="s">
        <v>38</v>
      </c>
      <c r="I272" t="s">
        <v>38</v>
      </c>
      <c r="J272" t="s">
        <v>38</v>
      </c>
      <c r="K272" t="s">
        <v>38</v>
      </c>
      <c r="L272" t="s">
        <v>38</v>
      </c>
    </row>
    <row r="273" spans="1:16">
      <c r="B273" t="s">
        <v>38</v>
      </c>
      <c r="C273">
        <v>1</v>
      </c>
      <c r="H273" t="s">
        <v>38</v>
      </c>
      <c r="I273" t="s">
        <v>38</v>
      </c>
      <c r="J273" t="s">
        <v>38</v>
      </c>
      <c r="K273" t="s">
        <v>38</v>
      </c>
      <c r="L273" t="s">
        <v>38</v>
      </c>
    </row>
    <row r="274" spans="1:16">
      <c r="B274" t="s">
        <v>38</v>
      </c>
      <c r="C274">
        <v>1</v>
      </c>
      <c r="H274" t="s">
        <v>38</v>
      </c>
      <c r="I274" t="s">
        <v>38</v>
      </c>
      <c r="J274" t="s">
        <v>38</v>
      </c>
      <c r="K274" t="s">
        <v>38</v>
      </c>
      <c r="L274" t="s">
        <v>38</v>
      </c>
    </row>
    <row r="277" spans="1:16">
      <c r="A277" t="s">
        <v>56</v>
      </c>
      <c r="B277" t="s">
        <v>194</v>
      </c>
      <c r="E277">
        <v>0</v>
      </c>
      <c r="H277" t="s">
        <v>38</v>
      </c>
      <c r="I277" t="s">
        <v>38</v>
      </c>
      <c r="J277" t="s">
        <v>38</v>
      </c>
      <c r="K277" t="s">
        <v>38</v>
      </c>
      <c r="L277" t="s">
        <v>38</v>
      </c>
      <c r="O277">
        <v>40</v>
      </c>
      <c r="P277">
        <v>48439.29</v>
      </c>
    </row>
    <row r="278" spans="1:16">
      <c r="B278" t="s">
        <v>188</v>
      </c>
      <c r="C278">
        <v>1</v>
      </c>
      <c r="E278">
        <v>1</v>
      </c>
      <c r="H278" t="s">
        <v>329</v>
      </c>
      <c r="I278" t="s">
        <v>38</v>
      </c>
      <c r="J278" t="s">
        <v>38</v>
      </c>
      <c r="K278" t="s">
        <v>324</v>
      </c>
      <c r="L278" t="s">
        <v>38</v>
      </c>
    </row>
    <row r="279" spans="1:16">
      <c r="B279" t="s">
        <v>200</v>
      </c>
      <c r="C279">
        <v>5</v>
      </c>
      <c r="E279">
        <v>1</v>
      </c>
      <c r="H279" t="s">
        <v>329</v>
      </c>
      <c r="I279" t="s">
        <v>38</v>
      </c>
      <c r="J279" t="s">
        <v>38</v>
      </c>
      <c r="K279" t="s">
        <v>324</v>
      </c>
      <c r="L279" t="s">
        <v>38</v>
      </c>
      <c r="M279" t="s">
        <v>330</v>
      </c>
      <c r="N279" t="s">
        <v>306</v>
      </c>
    </row>
    <row r="280" spans="1:16">
      <c r="B280" t="s">
        <v>195</v>
      </c>
      <c r="C280">
        <v>1</v>
      </c>
      <c r="E280">
        <v>2</v>
      </c>
      <c r="H280" t="s">
        <v>331</v>
      </c>
      <c r="I280" t="s">
        <v>38</v>
      </c>
      <c r="J280" t="s">
        <v>38</v>
      </c>
      <c r="K280" t="s">
        <v>324</v>
      </c>
      <c r="L280" t="s">
        <v>38</v>
      </c>
      <c r="M280" t="s">
        <v>330</v>
      </c>
      <c r="N280" t="s">
        <v>306</v>
      </c>
    </row>
    <row r="281" spans="1:16">
      <c r="B281" t="s">
        <v>190</v>
      </c>
      <c r="C281">
        <v>2</v>
      </c>
      <c r="E281">
        <v>3</v>
      </c>
      <c r="H281" t="s">
        <v>331</v>
      </c>
      <c r="I281" t="s">
        <v>332</v>
      </c>
      <c r="J281" t="s">
        <v>38</v>
      </c>
      <c r="K281" t="s">
        <v>324</v>
      </c>
      <c r="L281" t="s">
        <v>38</v>
      </c>
      <c r="M281" t="s">
        <v>330</v>
      </c>
      <c r="N281" t="s">
        <v>306</v>
      </c>
    </row>
    <row r="282" spans="1:16">
      <c r="B282" t="s">
        <v>192</v>
      </c>
      <c r="C282">
        <v>2</v>
      </c>
      <c r="E282">
        <v>3</v>
      </c>
      <c r="H282" t="s">
        <v>331</v>
      </c>
      <c r="I282" t="s">
        <v>332</v>
      </c>
      <c r="J282" t="s">
        <v>38</v>
      </c>
      <c r="K282" t="s">
        <v>324</v>
      </c>
      <c r="L282" t="s">
        <v>38</v>
      </c>
      <c r="M282" t="s">
        <v>330</v>
      </c>
      <c r="N282" t="s">
        <v>306</v>
      </c>
    </row>
    <row r="283" spans="1:16">
      <c r="B283" t="s">
        <v>190</v>
      </c>
      <c r="C283">
        <v>1</v>
      </c>
      <c r="E283">
        <v>4</v>
      </c>
      <c r="H283" t="s">
        <v>331</v>
      </c>
      <c r="I283" t="s">
        <v>332</v>
      </c>
      <c r="J283" t="s">
        <v>38</v>
      </c>
      <c r="K283" t="s">
        <v>324</v>
      </c>
      <c r="L283" t="s">
        <v>38</v>
      </c>
      <c r="M283" t="s">
        <v>330</v>
      </c>
    </row>
    <row r="284" spans="1:16">
      <c r="B284" t="s">
        <v>192</v>
      </c>
      <c r="C284">
        <v>1</v>
      </c>
      <c r="E284">
        <v>5</v>
      </c>
      <c r="H284" t="s">
        <v>331</v>
      </c>
      <c r="I284" t="s">
        <v>332</v>
      </c>
      <c r="J284" t="s">
        <v>38</v>
      </c>
      <c r="K284" t="s">
        <v>324</v>
      </c>
      <c r="L284" t="s">
        <v>38</v>
      </c>
      <c r="M284" t="s">
        <v>330</v>
      </c>
    </row>
    <row r="285" spans="1:16">
      <c r="B285" t="s">
        <v>137</v>
      </c>
      <c r="C285">
        <v>1</v>
      </c>
      <c r="E285">
        <v>5</v>
      </c>
      <c r="H285" t="s">
        <v>331</v>
      </c>
      <c r="I285" t="s">
        <v>332</v>
      </c>
      <c r="J285" t="s">
        <v>333</v>
      </c>
      <c r="K285" t="s">
        <v>324</v>
      </c>
      <c r="L285" t="s">
        <v>38</v>
      </c>
      <c r="M285" t="s">
        <v>330</v>
      </c>
    </row>
    <row r="286" spans="1:16">
      <c r="B286" t="s">
        <v>205</v>
      </c>
      <c r="C286">
        <v>6</v>
      </c>
      <c r="E286">
        <v>5</v>
      </c>
      <c r="H286" t="s">
        <v>331</v>
      </c>
      <c r="I286" t="s">
        <v>332</v>
      </c>
      <c r="J286" t="s">
        <v>334</v>
      </c>
      <c r="K286" t="s">
        <v>335</v>
      </c>
      <c r="L286" t="s">
        <v>333</v>
      </c>
      <c r="M286" t="s">
        <v>330</v>
      </c>
    </row>
    <row r="287" spans="1:16">
      <c r="B287" t="s">
        <v>202</v>
      </c>
      <c r="C287">
        <v>5</v>
      </c>
      <c r="E287">
        <v>5</v>
      </c>
      <c r="H287" t="s">
        <v>331</v>
      </c>
      <c r="I287" t="s">
        <v>332</v>
      </c>
      <c r="J287" t="s">
        <v>334</v>
      </c>
      <c r="K287" t="s">
        <v>335</v>
      </c>
      <c r="L287" t="s">
        <v>333</v>
      </c>
      <c r="M287" t="s">
        <v>330</v>
      </c>
    </row>
    <row r="288" spans="1:16">
      <c r="B288" t="s">
        <v>204</v>
      </c>
      <c r="C288">
        <v>4</v>
      </c>
      <c r="E288">
        <v>5</v>
      </c>
      <c r="H288" t="s">
        <v>331</v>
      </c>
      <c r="I288" t="s">
        <v>332</v>
      </c>
      <c r="J288" t="s">
        <v>334</v>
      </c>
      <c r="K288" t="s">
        <v>335</v>
      </c>
      <c r="L288" t="s">
        <v>333</v>
      </c>
      <c r="M288" t="s">
        <v>330</v>
      </c>
    </row>
    <row r="289" spans="2:14">
      <c r="B289" t="s">
        <v>203</v>
      </c>
      <c r="C289">
        <v>5</v>
      </c>
      <c r="E289">
        <v>5</v>
      </c>
      <c r="H289" t="s">
        <v>331</v>
      </c>
      <c r="I289" t="s">
        <v>332</v>
      </c>
      <c r="J289" t="s">
        <v>334</v>
      </c>
      <c r="K289" t="s">
        <v>335</v>
      </c>
      <c r="L289" t="s">
        <v>333</v>
      </c>
      <c r="M289" t="s">
        <v>330</v>
      </c>
    </row>
    <row r="290" spans="2:14">
      <c r="B290" t="s">
        <v>131</v>
      </c>
      <c r="C290">
        <v>1</v>
      </c>
      <c r="E290">
        <v>5</v>
      </c>
      <c r="H290" t="s">
        <v>331</v>
      </c>
      <c r="I290" t="s">
        <v>332</v>
      </c>
      <c r="J290" t="s">
        <v>38</v>
      </c>
      <c r="K290" t="s">
        <v>38</v>
      </c>
      <c r="L290" t="s">
        <v>333</v>
      </c>
      <c r="M290" t="s">
        <v>330</v>
      </c>
    </row>
    <row r="291" spans="2:14">
      <c r="B291" t="s">
        <v>190</v>
      </c>
      <c r="C291">
        <v>1</v>
      </c>
      <c r="E291">
        <v>5</v>
      </c>
      <c r="G291">
        <v>1</v>
      </c>
      <c r="H291" t="s">
        <v>331</v>
      </c>
      <c r="I291" t="s">
        <v>332</v>
      </c>
      <c r="J291" t="s">
        <v>38</v>
      </c>
      <c r="K291" t="s">
        <v>38</v>
      </c>
      <c r="L291" t="s">
        <v>333</v>
      </c>
      <c r="M291" t="s">
        <v>330</v>
      </c>
    </row>
    <row r="292" spans="2:14">
      <c r="B292" t="s">
        <v>192</v>
      </c>
      <c r="C292">
        <v>1</v>
      </c>
      <c r="E292">
        <v>5</v>
      </c>
      <c r="G292">
        <v>1</v>
      </c>
      <c r="H292" t="s">
        <v>331</v>
      </c>
      <c r="I292" t="s">
        <v>332</v>
      </c>
      <c r="J292" t="s">
        <v>38</v>
      </c>
      <c r="K292" t="s">
        <v>38</v>
      </c>
      <c r="L292" t="s">
        <v>333</v>
      </c>
      <c r="M292" t="s">
        <v>330</v>
      </c>
    </row>
    <row r="293" spans="2:14">
      <c r="B293" t="s">
        <v>188</v>
      </c>
      <c r="C293">
        <v>1</v>
      </c>
      <c r="E293">
        <v>5</v>
      </c>
      <c r="G293">
        <v>1</v>
      </c>
      <c r="H293" t="s">
        <v>331</v>
      </c>
      <c r="I293" t="s">
        <v>332</v>
      </c>
      <c r="J293" t="s">
        <v>38</v>
      </c>
      <c r="K293" t="s">
        <v>38</v>
      </c>
      <c r="L293" t="s">
        <v>38</v>
      </c>
      <c r="M293" t="s">
        <v>330</v>
      </c>
    </row>
    <row r="294" spans="2:14">
      <c r="B294" t="s">
        <v>200</v>
      </c>
      <c r="C294">
        <v>1</v>
      </c>
      <c r="E294">
        <v>5</v>
      </c>
      <c r="G294">
        <v>1</v>
      </c>
      <c r="H294" t="s">
        <v>331</v>
      </c>
      <c r="I294" t="s">
        <v>332</v>
      </c>
      <c r="J294" t="s">
        <v>38</v>
      </c>
      <c r="K294" t="s">
        <v>38</v>
      </c>
      <c r="L294" t="s">
        <v>38</v>
      </c>
      <c r="M294" t="s">
        <v>330</v>
      </c>
    </row>
    <row r="295" spans="2:14">
      <c r="B295" t="s">
        <v>195</v>
      </c>
      <c r="C295">
        <v>1</v>
      </c>
      <c r="E295">
        <v>5</v>
      </c>
      <c r="G295">
        <v>1</v>
      </c>
      <c r="H295" t="s">
        <v>331</v>
      </c>
      <c r="I295" t="s">
        <v>332</v>
      </c>
      <c r="J295" t="s">
        <v>38</v>
      </c>
      <c r="K295" t="s">
        <v>38</v>
      </c>
      <c r="L295" t="s">
        <v>38</v>
      </c>
      <c r="M295" t="s">
        <v>330</v>
      </c>
    </row>
    <row r="296" spans="2:14">
      <c r="B296" t="s">
        <v>190</v>
      </c>
      <c r="C296">
        <v>3</v>
      </c>
      <c r="E296">
        <v>5</v>
      </c>
      <c r="G296">
        <v>1</v>
      </c>
      <c r="H296" t="s">
        <v>331</v>
      </c>
      <c r="I296" t="s">
        <v>332</v>
      </c>
      <c r="J296" t="s">
        <v>38</v>
      </c>
      <c r="K296" t="s">
        <v>38</v>
      </c>
      <c r="L296" t="s">
        <v>38</v>
      </c>
      <c r="M296" t="s">
        <v>330</v>
      </c>
      <c r="N296" t="s">
        <v>306</v>
      </c>
    </row>
    <row r="297" spans="2:14">
      <c r="B297" t="s">
        <v>192</v>
      </c>
      <c r="C297">
        <v>3</v>
      </c>
      <c r="D297">
        <v>1</v>
      </c>
      <c r="E297">
        <v>5</v>
      </c>
      <c r="F297">
        <v>5</v>
      </c>
      <c r="G297">
        <v>1</v>
      </c>
      <c r="H297" t="s">
        <v>331</v>
      </c>
      <c r="I297" t="s">
        <v>332</v>
      </c>
      <c r="J297" t="s">
        <v>38</v>
      </c>
      <c r="K297" t="s">
        <v>38</v>
      </c>
      <c r="L297" t="s">
        <v>38</v>
      </c>
      <c r="M297" t="s">
        <v>330</v>
      </c>
      <c r="N297" t="s">
        <v>306</v>
      </c>
    </row>
    <row r="298" spans="2:14">
      <c r="B298" t="s">
        <v>202</v>
      </c>
      <c r="C298">
        <v>4</v>
      </c>
      <c r="D298">
        <v>1</v>
      </c>
      <c r="E298">
        <v>5</v>
      </c>
      <c r="F298">
        <v>5</v>
      </c>
      <c r="G298">
        <v>1</v>
      </c>
      <c r="H298" t="s">
        <v>331</v>
      </c>
      <c r="I298" t="s">
        <v>332</v>
      </c>
      <c r="J298" t="s">
        <v>334</v>
      </c>
      <c r="K298" t="s">
        <v>335</v>
      </c>
      <c r="L298" t="s">
        <v>38</v>
      </c>
      <c r="M298" t="s">
        <v>330</v>
      </c>
      <c r="N298" t="s">
        <v>306</v>
      </c>
    </row>
    <row r="299" spans="2:14">
      <c r="B299" t="s">
        <v>204</v>
      </c>
      <c r="C299">
        <v>3</v>
      </c>
      <c r="D299">
        <v>1</v>
      </c>
      <c r="E299">
        <v>5</v>
      </c>
      <c r="F299">
        <v>5</v>
      </c>
      <c r="G299">
        <v>1</v>
      </c>
      <c r="H299" t="s">
        <v>331</v>
      </c>
      <c r="I299" t="s">
        <v>332</v>
      </c>
      <c r="J299" t="s">
        <v>334</v>
      </c>
      <c r="K299" t="s">
        <v>335</v>
      </c>
      <c r="L299" t="s">
        <v>38</v>
      </c>
      <c r="M299" t="s">
        <v>330</v>
      </c>
      <c r="N299" t="s">
        <v>306</v>
      </c>
    </row>
    <row r="300" spans="2:14">
      <c r="B300" t="s">
        <v>203</v>
      </c>
      <c r="C300">
        <v>6</v>
      </c>
      <c r="D300">
        <v>1</v>
      </c>
      <c r="E300">
        <v>5</v>
      </c>
      <c r="F300">
        <v>5</v>
      </c>
      <c r="G300">
        <v>1</v>
      </c>
      <c r="H300" t="s">
        <v>331</v>
      </c>
      <c r="I300" t="s">
        <v>332</v>
      </c>
      <c r="J300" t="s">
        <v>334</v>
      </c>
      <c r="K300" t="s">
        <v>335</v>
      </c>
      <c r="L300" t="s">
        <v>38</v>
      </c>
      <c r="M300" t="s">
        <v>330</v>
      </c>
    </row>
    <row r="301" spans="2:14">
      <c r="B301" t="s">
        <v>205</v>
      </c>
      <c r="C301">
        <v>6</v>
      </c>
      <c r="D301">
        <v>1</v>
      </c>
      <c r="E301">
        <v>5</v>
      </c>
      <c r="F301">
        <v>5</v>
      </c>
      <c r="G301">
        <v>1</v>
      </c>
      <c r="H301" t="s">
        <v>331</v>
      </c>
      <c r="I301" t="s">
        <v>332</v>
      </c>
      <c r="J301" t="s">
        <v>334</v>
      </c>
      <c r="K301" t="s">
        <v>335</v>
      </c>
      <c r="L301" t="s">
        <v>38</v>
      </c>
      <c r="M301" t="s">
        <v>330</v>
      </c>
    </row>
    <row r="302" spans="2:14">
      <c r="B302" t="s">
        <v>137</v>
      </c>
      <c r="C302">
        <v>1</v>
      </c>
      <c r="D302">
        <v>1</v>
      </c>
      <c r="E302">
        <v>5</v>
      </c>
      <c r="F302">
        <v>5</v>
      </c>
      <c r="G302">
        <v>1</v>
      </c>
      <c r="H302" t="s">
        <v>331</v>
      </c>
      <c r="I302" t="s">
        <v>332</v>
      </c>
      <c r="J302" t="s">
        <v>38</v>
      </c>
      <c r="K302" t="s">
        <v>38</v>
      </c>
      <c r="L302" t="s">
        <v>38</v>
      </c>
      <c r="M302" t="s">
        <v>330</v>
      </c>
    </row>
    <row r="303" spans="2:14">
      <c r="B303" t="s">
        <v>190</v>
      </c>
      <c r="C303">
        <v>1</v>
      </c>
      <c r="D303">
        <v>1</v>
      </c>
      <c r="E303">
        <v>5</v>
      </c>
      <c r="F303">
        <v>5</v>
      </c>
      <c r="G303">
        <v>1</v>
      </c>
      <c r="H303" t="s">
        <v>331</v>
      </c>
      <c r="I303" t="s">
        <v>332</v>
      </c>
      <c r="J303" t="s">
        <v>38</v>
      </c>
      <c r="K303" t="s">
        <v>38</v>
      </c>
      <c r="L303" t="s">
        <v>38</v>
      </c>
      <c r="M303" t="s">
        <v>330</v>
      </c>
    </row>
    <row r="304" spans="2:14">
      <c r="B304" t="s">
        <v>192</v>
      </c>
      <c r="C304">
        <v>1</v>
      </c>
      <c r="D304">
        <v>1</v>
      </c>
      <c r="E304">
        <v>5</v>
      </c>
      <c r="F304">
        <v>5</v>
      </c>
      <c r="G304">
        <v>1</v>
      </c>
      <c r="H304" t="s">
        <v>331</v>
      </c>
      <c r="I304" t="s">
        <v>332</v>
      </c>
      <c r="J304" t="s">
        <v>38</v>
      </c>
      <c r="K304" t="s">
        <v>38</v>
      </c>
      <c r="L304" t="s">
        <v>38</v>
      </c>
      <c r="M304" t="s">
        <v>330</v>
      </c>
    </row>
    <row r="305" spans="2:14">
      <c r="B305" t="s">
        <v>131</v>
      </c>
      <c r="C305">
        <v>1</v>
      </c>
      <c r="D305">
        <v>1</v>
      </c>
      <c r="E305">
        <v>5</v>
      </c>
      <c r="F305">
        <v>5</v>
      </c>
      <c r="G305">
        <v>1</v>
      </c>
      <c r="H305" t="s">
        <v>331</v>
      </c>
      <c r="I305" t="s">
        <v>332</v>
      </c>
      <c r="J305" t="s">
        <v>38</v>
      </c>
      <c r="K305" t="s">
        <v>38</v>
      </c>
      <c r="L305" t="s">
        <v>38</v>
      </c>
      <c r="M305" t="s">
        <v>330</v>
      </c>
    </row>
    <row r="306" spans="2:14">
      <c r="B306" t="s">
        <v>188</v>
      </c>
      <c r="C306">
        <v>1</v>
      </c>
      <c r="D306">
        <v>1</v>
      </c>
      <c r="E306">
        <v>5</v>
      </c>
      <c r="F306">
        <v>5</v>
      </c>
      <c r="G306">
        <v>1</v>
      </c>
      <c r="H306" t="s">
        <v>331</v>
      </c>
      <c r="I306" t="s">
        <v>332</v>
      </c>
      <c r="J306" t="s">
        <v>38</v>
      </c>
      <c r="K306" t="s">
        <v>38</v>
      </c>
      <c r="L306" t="s">
        <v>38</v>
      </c>
      <c r="M306" t="s">
        <v>330</v>
      </c>
    </row>
    <row r="307" spans="2:14">
      <c r="B307" t="s">
        <v>200</v>
      </c>
      <c r="C307">
        <v>1</v>
      </c>
      <c r="D307">
        <v>1</v>
      </c>
      <c r="E307">
        <v>5</v>
      </c>
      <c r="F307">
        <v>5</v>
      </c>
      <c r="G307">
        <v>1</v>
      </c>
      <c r="H307" t="s">
        <v>331</v>
      </c>
      <c r="I307" t="s">
        <v>332</v>
      </c>
      <c r="J307" t="s">
        <v>38</v>
      </c>
      <c r="K307" t="s">
        <v>38</v>
      </c>
      <c r="L307" t="s">
        <v>38</v>
      </c>
      <c r="M307" t="s">
        <v>330</v>
      </c>
    </row>
    <row r="308" spans="2:14">
      <c r="B308" t="s">
        <v>195</v>
      </c>
      <c r="C308">
        <v>1</v>
      </c>
      <c r="E308">
        <v>5</v>
      </c>
      <c r="F308">
        <v>5</v>
      </c>
      <c r="H308" t="s">
        <v>331</v>
      </c>
      <c r="I308" t="s">
        <v>332</v>
      </c>
      <c r="J308" t="s">
        <v>38</v>
      </c>
      <c r="K308" t="s">
        <v>38</v>
      </c>
      <c r="L308" t="s">
        <v>38</v>
      </c>
      <c r="M308" t="s">
        <v>330</v>
      </c>
      <c r="N308" t="s">
        <v>306</v>
      </c>
    </row>
    <row r="309" spans="2:14">
      <c r="B309" t="s">
        <v>190</v>
      </c>
      <c r="C309">
        <v>3</v>
      </c>
      <c r="E309">
        <v>5</v>
      </c>
      <c r="F309">
        <v>5</v>
      </c>
      <c r="H309" t="s">
        <v>331</v>
      </c>
      <c r="I309" t="s">
        <v>332</v>
      </c>
      <c r="J309" t="s">
        <v>38</v>
      </c>
      <c r="K309" t="s">
        <v>38</v>
      </c>
      <c r="L309" t="s">
        <v>38</v>
      </c>
      <c r="M309" t="s">
        <v>330</v>
      </c>
      <c r="N309" t="s">
        <v>306</v>
      </c>
    </row>
    <row r="310" spans="2:14">
      <c r="B310" t="s">
        <v>192</v>
      </c>
      <c r="C310">
        <v>3</v>
      </c>
      <c r="E310">
        <v>5</v>
      </c>
      <c r="F310">
        <v>5</v>
      </c>
      <c r="H310" t="s">
        <v>331</v>
      </c>
      <c r="I310" t="s">
        <v>332</v>
      </c>
      <c r="J310" t="s">
        <v>38</v>
      </c>
      <c r="K310" t="s">
        <v>38</v>
      </c>
      <c r="L310" t="s">
        <v>38</v>
      </c>
      <c r="M310" t="s">
        <v>330</v>
      </c>
      <c r="N310" t="s">
        <v>306</v>
      </c>
    </row>
    <row r="311" spans="2:14">
      <c r="B311" t="s">
        <v>202</v>
      </c>
      <c r="C311">
        <v>4</v>
      </c>
      <c r="E311">
        <v>5</v>
      </c>
      <c r="F311">
        <v>5</v>
      </c>
      <c r="H311" t="s">
        <v>331</v>
      </c>
      <c r="I311" t="s">
        <v>332</v>
      </c>
      <c r="J311" t="s">
        <v>334</v>
      </c>
      <c r="K311" t="s">
        <v>335</v>
      </c>
      <c r="L311" t="s">
        <v>38</v>
      </c>
      <c r="M311" t="s">
        <v>330</v>
      </c>
      <c r="N311" t="s">
        <v>306</v>
      </c>
    </row>
    <row r="312" spans="2:14">
      <c r="B312" t="s">
        <v>204</v>
      </c>
      <c r="C312">
        <v>3</v>
      </c>
      <c r="E312">
        <v>5</v>
      </c>
      <c r="H312" t="s">
        <v>331</v>
      </c>
      <c r="I312" t="s">
        <v>332</v>
      </c>
      <c r="J312" t="s">
        <v>334</v>
      </c>
      <c r="K312" t="s">
        <v>335</v>
      </c>
      <c r="L312" t="s">
        <v>38</v>
      </c>
      <c r="M312" t="s">
        <v>330</v>
      </c>
    </row>
    <row r="313" spans="2:14">
      <c r="B313" t="s">
        <v>203</v>
      </c>
      <c r="C313">
        <v>6</v>
      </c>
      <c r="E313">
        <v>5</v>
      </c>
      <c r="H313" t="s">
        <v>331</v>
      </c>
      <c r="I313" t="s">
        <v>332</v>
      </c>
      <c r="J313" t="s">
        <v>334</v>
      </c>
      <c r="K313" t="s">
        <v>335</v>
      </c>
      <c r="L313" t="s">
        <v>38</v>
      </c>
      <c r="M313" t="s">
        <v>330</v>
      </c>
    </row>
    <row r="314" spans="2:14">
      <c r="B314" t="s">
        <v>205</v>
      </c>
      <c r="C314">
        <v>6</v>
      </c>
      <c r="E314">
        <v>5</v>
      </c>
      <c r="H314" t="s">
        <v>331</v>
      </c>
      <c r="I314" t="s">
        <v>332</v>
      </c>
      <c r="J314" t="s">
        <v>334</v>
      </c>
      <c r="K314" t="s">
        <v>335</v>
      </c>
      <c r="L314" t="s">
        <v>38</v>
      </c>
      <c r="M314" t="s">
        <v>330</v>
      </c>
    </row>
    <row r="315" spans="2:14">
      <c r="B315" t="s">
        <v>137</v>
      </c>
      <c r="C315">
        <v>1</v>
      </c>
      <c r="E315">
        <v>5</v>
      </c>
      <c r="H315" t="s">
        <v>331</v>
      </c>
      <c r="I315" t="s">
        <v>332</v>
      </c>
      <c r="J315" t="s">
        <v>38</v>
      </c>
      <c r="K315" t="s">
        <v>38</v>
      </c>
      <c r="L315" t="s">
        <v>38</v>
      </c>
      <c r="M315" t="s">
        <v>330</v>
      </c>
    </row>
    <row r="316" spans="2:14">
      <c r="B316" t="s">
        <v>190</v>
      </c>
      <c r="C316">
        <v>1</v>
      </c>
      <c r="E316">
        <v>5</v>
      </c>
      <c r="H316" t="s">
        <v>331</v>
      </c>
      <c r="I316" t="s">
        <v>332</v>
      </c>
      <c r="J316" t="s">
        <v>38</v>
      </c>
      <c r="K316" t="s">
        <v>38</v>
      </c>
      <c r="L316" t="s">
        <v>38</v>
      </c>
      <c r="M316" t="s">
        <v>330</v>
      </c>
    </row>
    <row r="317" spans="2:14">
      <c r="B317" t="s">
        <v>192</v>
      </c>
      <c r="C317">
        <v>1</v>
      </c>
      <c r="E317">
        <v>5</v>
      </c>
      <c r="H317" t="s">
        <v>331</v>
      </c>
      <c r="I317" t="s">
        <v>332</v>
      </c>
      <c r="J317" t="s">
        <v>38</v>
      </c>
      <c r="K317" t="s">
        <v>38</v>
      </c>
      <c r="L317" t="s">
        <v>38</v>
      </c>
      <c r="M317" t="s">
        <v>330</v>
      </c>
    </row>
    <row r="318" spans="2:14">
      <c r="B318" t="s">
        <v>131</v>
      </c>
      <c r="C318">
        <v>1</v>
      </c>
      <c r="E318">
        <v>5</v>
      </c>
      <c r="H318" t="s">
        <v>331</v>
      </c>
      <c r="I318" t="s">
        <v>332</v>
      </c>
      <c r="J318" t="s">
        <v>38</v>
      </c>
      <c r="K318" t="s">
        <v>38</v>
      </c>
      <c r="L318" t="s">
        <v>38</v>
      </c>
      <c r="M318" t="s">
        <v>330</v>
      </c>
    </row>
    <row r="319" spans="2:14">
      <c r="B319" t="s">
        <v>127</v>
      </c>
      <c r="C319">
        <v>4</v>
      </c>
      <c r="E319">
        <v>5</v>
      </c>
      <c r="H319" t="s">
        <v>329</v>
      </c>
      <c r="I319" t="s">
        <v>38</v>
      </c>
      <c r="J319" t="s">
        <v>38</v>
      </c>
      <c r="K319" t="s">
        <v>38</v>
      </c>
      <c r="L319" t="s">
        <v>38</v>
      </c>
      <c r="M319" t="s">
        <v>330</v>
      </c>
    </row>
    <row r="320" spans="2:14">
      <c r="B320" t="s">
        <v>127</v>
      </c>
      <c r="C320">
        <v>32</v>
      </c>
      <c r="E320">
        <v>5</v>
      </c>
      <c r="H320" t="s">
        <v>331</v>
      </c>
      <c r="I320" t="s">
        <v>332</v>
      </c>
      <c r="J320" t="s">
        <v>38</v>
      </c>
      <c r="K320" t="s">
        <v>38</v>
      </c>
      <c r="L320" t="s">
        <v>38</v>
      </c>
      <c r="M320" t="s">
        <v>330</v>
      </c>
    </row>
    <row r="321" spans="2:13">
      <c r="B321" t="s">
        <v>128</v>
      </c>
      <c r="C321">
        <v>4</v>
      </c>
      <c r="E321">
        <v>5</v>
      </c>
      <c r="H321" t="s">
        <v>329</v>
      </c>
      <c r="I321" t="s">
        <v>38</v>
      </c>
      <c r="J321" t="s">
        <v>38</v>
      </c>
      <c r="K321" t="s">
        <v>38</v>
      </c>
      <c r="L321" t="s">
        <v>38</v>
      </c>
      <c r="M321" t="s">
        <v>330</v>
      </c>
    </row>
    <row r="322" spans="2:13">
      <c r="B322" t="s">
        <v>128</v>
      </c>
      <c r="C322">
        <v>32</v>
      </c>
      <c r="E322">
        <v>5</v>
      </c>
      <c r="H322" t="s">
        <v>331</v>
      </c>
      <c r="I322" t="s">
        <v>332</v>
      </c>
      <c r="J322" t="s">
        <v>38</v>
      </c>
      <c r="K322" t="s">
        <v>38</v>
      </c>
      <c r="L322" t="s">
        <v>38</v>
      </c>
      <c r="M322" t="s">
        <v>330</v>
      </c>
    </row>
    <row r="323" spans="2:13">
      <c r="B323" t="s">
        <v>140</v>
      </c>
      <c r="C323">
        <v>1</v>
      </c>
      <c r="H323" t="s">
        <v>331</v>
      </c>
      <c r="I323" t="s">
        <v>332</v>
      </c>
      <c r="J323" t="s">
        <v>38</v>
      </c>
      <c r="K323" t="s">
        <v>38</v>
      </c>
      <c r="L323" t="s">
        <v>38</v>
      </c>
      <c r="M323" t="s">
        <v>330</v>
      </c>
    </row>
    <row r="324" spans="2:13">
      <c r="B324" t="s">
        <v>141</v>
      </c>
      <c r="C324">
        <v>72</v>
      </c>
      <c r="H324" t="s">
        <v>331</v>
      </c>
      <c r="I324" t="s">
        <v>332</v>
      </c>
      <c r="J324" t="s">
        <v>334</v>
      </c>
      <c r="K324" t="s">
        <v>38</v>
      </c>
      <c r="L324" t="s">
        <v>38</v>
      </c>
      <c r="M324" t="s">
        <v>330</v>
      </c>
    </row>
    <row r="325" spans="2:13">
      <c r="B325" t="s">
        <v>153</v>
      </c>
      <c r="C325">
        <v>1</v>
      </c>
      <c r="E325">
        <v>1</v>
      </c>
      <c r="H325" t="s">
        <v>329</v>
      </c>
      <c r="I325" t="s">
        <v>38</v>
      </c>
      <c r="J325" t="s">
        <v>38</v>
      </c>
      <c r="K325" t="s">
        <v>38</v>
      </c>
      <c r="L325" t="s">
        <v>38</v>
      </c>
    </row>
    <row r="326" spans="2:13">
      <c r="B326" t="s">
        <v>153</v>
      </c>
      <c r="C326">
        <v>1</v>
      </c>
      <c r="E326">
        <v>2</v>
      </c>
      <c r="H326" t="s">
        <v>329</v>
      </c>
      <c r="I326" t="s">
        <v>38</v>
      </c>
      <c r="J326" t="s">
        <v>38</v>
      </c>
      <c r="K326" t="s">
        <v>38</v>
      </c>
      <c r="L326" t="s">
        <v>38</v>
      </c>
      <c r="M326" t="s">
        <v>330</v>
      </c>
    </row>
    <row r="327" spans="2:13">
      <c r="B327" t="s">
        <v>153</v>
      </c>
      <c r="C327">
        <v>1</v>
      </c>
      <c r="E327">
        <v>4</v>
      </c>
      <c r="H327" t="s">
        <v>331</v>
      </c>
      <c r="I327" t="s">
        <v>332</v>
      </c>
      <c r="J327" t="s">
        <v>324</v>
      </c>
      <c r="K327" t="s">
        <v>38</v>
      </c>
      <c r="L327" t="s">
        <v>38</v>
      </c>
      <c r="M327" t="s">
        <v>330</v>
      </c>
    </row>
    <row r="328" spans="2:13">
      <c r="B328" t="s">
        <v>153</v>
      </c>
      <c r="C328">
        <v>2</v>
      </c>
      <c r="E328">
        <v>5</v>
      </c>
      <c r="H328" t="s">
        <v>331</v>
      </c>
      <c r="I328" t="s">
        <v>332</v>
      </c>
      <c r="J328" t="s">
        <v>324</v>
      </c>
      <c r="K328" t="s">
        <v>38</v>
      </c>
      <c r="L328" t="s">
        <v>38</v>
      </c>
      <c r="M328" t="s">
        <v>330</v>
      </c>
    </row>
    <row r="329" spans="2:13">
      <c r="B329" t="s">
        <v>38</v>
      </c>
      <c r="C329">
        <v>1</v>
      </c>
      <c r="H329" t="s">
        <v>38</v>
      </c>
      <c r="I329" t="s">
        <v>38</v>
      </c>
      <c r="J329" t="s">
        <v>38</v>
      </c>
      <c r="K329" t="s">
        <v>38</v>
      </c>
      <c r="L329" t="s">
        <v>38</v>
      </c>
    </row>
    <row r="330" spans="2:13">
      <c r="B330" t="s">
        <v>38</v>
      </c>
      <c r="C330">
        <v>1</v>
      </c>
      <c r="H330" t="s">
        <v>38</v>
      </c>
      <c r="I330" t="s">
        <v>38</v>
      </c>
      <c r="J330" t="s">
        <v>38</v>
      </c>
      <c r="K330" t="s">
        <v>38</v>
      </c>
      <c r="L330" t="s">
        <v>38</v>
      </c>
    </row>
    <row r="331" spans="2:13">
      <c r="B331" t="s">
        <v>38</v>
      </c>
      <c r="C331">
        <v>1</v>
      </c>
      <c r="H331" t="s">
        <v>38</v>
      </c>
      <c r="I331" t="s">
        <v>38</v>
      </c>
      <c r="J331" t="s">
        <v>38</v>
      </c>
      <c r="K331" t="s">
        <v>38</v>
      </c>
      <c r="L331" t="s">
        <v>38</v>
      </c>
    </row>
    <row r="332" spans="2:13">
      <c r="B332" t="s">
        <v>38</v>
      </c>
      <c r="C332">
        <v>1</v>
      </c>
      <c r="H332" t="s">
        <v>38</v>
      </c>
      <c r="I332" t="s">
        <v>38</v>
      </c>
      <c r="J332" t="s">
        <v>38</v>
      </c>
      <c r="K332" t="s">
        <v>38</v>
      </c>
      <c r="L332" t="s">
        <v>38</v>
      </c>
    </row>
    <row r="333" spans="2:13">
      <c r="B333" t="s">
        <v>38</v>
      </c>
      <c r="C333">
        <v>1</v>
      </c>
      <c r="H333" t="s">
        <v>38</v>
      </c>
      <c r="I333" t="s">
        <v>38</v>
      </c>
      <c r="J333" t="s">
        <v>38</v>
      </c>
      <c r="K333" t="s">
        <v>38</v>
      </c>
      <c r="L333" t="s">
        <v>38</v>
      </c>
    </row>
    <row r="334" spans="2:13">
      <c r="B334" t="s">
        <v>38</v>
      </c>
      <c r="C334">
        <v>1</v>
      </c>
      <c r="H334" t="s">
        <v>38</v>
      </c>
      <c r="I334" t="s">
        <v>38</v>
      </c>
      <c r="J334" t="s">
        <v>38</v>
      </c>
      <c r="K334" t="s">
        <v>38</v>
      </c>
      <c r="L334" t="s">
        <v>38</v>
      </c>
    </row>
    <row r="335" spans="2:13">
      <c r="B335" t="s">
        <v>38</v>
      </c>
      <c r="C335">
        <v>1</v>
      </c>
      <c r="H335" t="s">
        <v>38</v>
      </c>
      <c r="I335" t="s">
        <v>38</v>
      </c>
      <c r="J335" t="s">
        <v>38</v>
      </c>
      <c r="K335" t="s">
        <v>38</v>
      </c>
      <c r="L335" t="s">
        <v>38</v>
      </c>
    </row>
    <row r="336" spans="2:13">
      <c r="B336" t="s">
        <v>38</v>
      </c>
      <c r="C336">
        <v>1</v>
      </c>
      <c r="H336" t="s">
        <v>38</v>
      </c>
      <c r="I336" t="s">
        <v>38</v>
      </c>
      <c r="J336" t="s">
        <v>38</v>
      </c>
      <c r="K336" t="s">
        <v>38</v>
      </c>
      <c r="L336" t="s">
        <v>38</v>
      </c>
    </row>
    <row r="337" spans="2:12">
      <c r="B337" t="s">
        <v>38</v>
      </c>
      <c r="C337">
        <v>1</v>
      </c>
      <c r="H337" t="s">
        <v>38</v>
      </c>
      <c r="I337" t="s">
        <v>38</v>
      </c>
      <c r="J337" t="s">
        <v>38</v>
      </c>
      <c r="K337" t="s">
        <v>38</v>
      </c>
      <c r="L337" t="s">
        <v>38</v>
      </c>
    </row>
    <row r="338" spans="2:12">
      <c r="B338" t="s">
        <v>38</v>
      </c>
      <c r="C338">
        <v>1</v>
      </c>
      <c r="H338" t="s">
        <v>38</v>
      </c>
      <c r="I338" t="s">
        <v>38</v>
      </c>
      <c r="J338" t="s">
        <v>38</v>
      </c>
      <c r="K338" t="s">
        <v>38</v>
      </c>
      <c r="L338" t="s">
        <v>38</v>
      </c>
    </row>
    <row r="339" spans="2:12">
      <c r="B339" t="s">
        <v>38</v>
      </c>
      <c r="C339">
        <v>1</v>
      </c>
      <c r="H339" t="s">
        <v>38</v>
      </c>
      <c r="I339" t="s">
        <v>38</v>
      </c>
      <c r="J339" t="s">
        <v>38</v>
      </c>
      <c r="K339" t="s">
        <v>38</v>
      </c>
      <c r="L339" t="s">
        <v>38</v>
      </c>
    </row>
    <row r="340" spans="2:12">
      <c r="B340" t="s">
        <v>38</v>
      </c>
      <c r="C340">
        <v>1</v>
      </c>
      <c r="H340" t="s">
        <v>38</v>
      </c>
      <c r="I340" t="s">
        <v>38</v>
      </c>
      <c r="J340" t="s">
        <v>38</v>
      </c>
      <c r="K340" t="s">
        <v>38</v>
      </c>
      <c r="L340" t="s">
        <v>38</v>
      </c>
    </row>
    <row r="341" spans="2:12">
      <c r="B341" t="s">
        <v>38</v>
      </c>
      <c r="C341">
        <v>1</v>
      </c>
      <c r="H341" t="s">
        <v>38</v>
      </c>
      <c r="I341" t="s">
        <v>38</v>
      </c>
      <c r="J341" t="s">
        <v>38</v>
      </c>
      <c r="K341" t="s">
        <v>38</v>
      </c>
      <c r="L341" t="s">
        <v>38</v>
      </c>
    </row>
    <row r="342" spans="2:12">
      <c r="B342" t="s">
        <v>38</v>
      </c>
      <c r="C342">
        <v>1</v>
      </c>
      <c r="H342" t="s">
        <v>38</v>
      </c>
      <c r="I342" t="s">
        <v>38</v>
      </c>
      <c r="J342" t="s">
        <v>38</v>
      </c>
      <c r="K342" t="s">
        <v>38</v>
      </c>
      <c r="L342" t="s">
        <v>38</v>
      </c>
    </row>
    <row r="343" spans="2:12">
      <c r="B343" t="s">
        <v>38</v>
      </c>
      <c r="C343">
        <v>1</v>
      </c>
      <c r="H343" t="s">
        <v>38</v>
      </c>
      <c r="I343" t="s">
        <v>38</v>
      </c>
      <c r="J343" t="s">
        <v>38</v>
      </c>
      <c r="K343" t="s">
        <v>38</v>
      </c>
      <c r="L343" t="s">
        <v>38</v>
      </c>
    </row>
    <row r="344" spans="2:12">
      <c r="B344" t="s">
        <v>38</v>
      </c>
      <c r="C344">
        <v>1</v>
      </c>
      <c r="H344" t="s">
        <v>38</v>
      </c>
      <c r="I344" t="s">
        <v>38</v>
      </c>
      <c r="J344" t="s">
        <v>38</v>
      </c>
      <c r="K344" t="s">
        <v>38</v>
      </c>
      <c r="L344" t="s">
        <v>38</v>
      </c>
    </row>
    <row r="345" spans="2:12">
      <c r="B345" t="s">
        <v>38</v>
      </c>
      <c r="C345">
        <v>1</v>
      </c>
      <c r="H345" t="s">
        <v>38</v>
      </c>
      <c r="I345" t="s">
        <v>38</v>
      </c>
      <c r="J345" t="s">
        <v>38</v>
      </c>
      <c r="K345" t="s">
        <v>38</v>
      </c>
      <c r="L345" t="s">
        <v>38</v>
      </c>
    </row>
    <row r="346" spans="2:12">
      <c r="B346" t="s">
        <v>38</v>
      </c>
      <c r="C346">
        <v>1</v>
      </c>
      <c r="H346" t="s">
        <v>38</v>
      </c>
      <c r="I346" t="s">
        <v>38</v>
      </c>
      <c r="J346" t="s">
        <v>38</v>
      </c>
      <c r="K346" t="s">
        <v>38</v>
      </c>
      <c r="L346" t="s">
        <v>38</v>
      </c>
    </row>
    <row r="347" spans="2:12">
      <c r="B347" t="s">
        <v>38</v>
      </c>
      <c r="C347">
        <v>1</v>
      </c>
      <c r="H347" t="s">
        <v>38</v>
      </c>
      <c r="I347" t="s">
        <v>38</v>
      </c>
      <c r="J347" t="s">
        <v>38</v>
      </c>
      <c r="K347" t="s">
        <v>38</v>
      </c>
      <c r="L347" t="s">
        <v>38</v>
      </c>
    </row>
    <row r="348" spans="2:12">
      <c r="B348" t="s">
        <v>38</v>
      </c>
      <c r="C348">
        <v>1</v>
      </c>
      <c r="H348" t="s">
        <v>38</v>
      </c>
      <c r="I348" t="s">
        <v>38</v>
      </c>
      <c r="J348" t="s">
        <v>38</v>
      </c>
      <c r="K348" t="s">
        <v>38</v>
      </c>
      <c r="L348" t="s">
        <v>38</v>
      </c>
    </row>
    <row r="349" spans="2:12">
      <c r="B349" t="s">
        <v>38</v>
      </c>
      <c r="C349">
        <v>1</v>
      </c>
      <c r="H349" t="s">
        <v>38</v>
      </c>
      <c r="I349" t="s">
        <v>38</v>
      </c>
      <c r="J349" t="s">
        <v>38</v>
      </c>
      <c r="K349" t="s">
        <v>38</v>
      </c>
      <c r="L349" t="s">
        <v>38</v>
      </c>
    </row>
    <row r="350" spans="2:12">
      <c r="B350" t="s">
        <v>38</v>
      </c>
      <c r="C350">
        <v>1</v>
      </c>
      <c r="H350" t="s">
        <v>38</v>
      </c>
      <c r="I350" t="s">
        <v>38</v>
      </c>
      <c r="J350" t="s">
        <v>38</v>
      </c>
      <c r="K350" t="s">
        <v>38</v>
      </c>
      <c r="L350" t="s">
        <v>38</v>
      </c>
    </row>
    <row r="351" spans="2:12">
      <c r="B351" t="s">
        <v>38</v>
      </c>
      <c r="C351">
        <v>1</v>
      </c>
      <c r="H351" t="s">
        <v>38</v>
      </c>
      <c r="I351" t="s">
        <v>38</v>
      </c>
      <c r="J351" t="s">
        <v>38</v>
      </c>
      <c r="K351" t="s">
        <v>38</v>
      </c>
      <c r="L351" t="s">
        <v>38</v>
      </c>
    </row>
    <row r="352" spans="2:12">
      <c r="B352" t="s">
        <v>38</v>
      </c>
      <c r="C352">
        <v>1</v>
      </c>
      <c r="H352" t="s">
        <v>38</v>
      </c>
      <c r="I352" t="s">
        <v>38</v>
      </c>
      <c r="J352" t="s">
        <v>38</v>
      </c>
      <c r="K352" t="s">
        <v>38</v>
      </c>
      <c r="L352" t="s">
        <v>38</v>
      </c>
    </row>
    <row r="353" spans="2:12">
      <c r="B353" t="s">
        <v>38</v>
      </c>
      <c r="C353">
        <v>1</v>
      </c>
      <c r="H353" t="s">
        <v>38</v>
      </c>
      <c r="I353" t="s">
        <v>38</v>
      </c>
      <c r="J353" t="s">
        <v>38</v>
      </c>
      <c r="K353" t="s">
        <v>38</v>
      </c>
      <c r="L353" t="s">
        <v>38</v>
      </c>
    </row>
    <row r="354" spans="2:12">
      <c r="B354" t="s">
        <v>38</v>
      </c>
      <c r="C354">
        <v>1</v>
      </c>
      <c r="H354" t="s">
        <v>38</v>
      </c>
      <c r="I354" t="s">
        <v>38</v>
      </c>
      <c r="J354" t="s">
        <v>38</v>
      </c>
      <c r="K354" t="s">
        <v>38</v>
      </c>
      <c r="L354" t="s">
        <v>38</v>
      </c>
    </row>
    <row r="355" spans="2:12">
      <c r="B355" t="s">
        <v>38</v>
      </c>
      <c r="C355">
        <v>1</v>
      </c>
      <c r="H355" t="s">
        <v>38</v>
      </c>
      <c r="I355" t="s">
        <v>38</v>
      </c>
      <c r="J355" t="s">
        <v>38</v>
      </c>
      <c r="K355" t="s">
        <v>38</v>
      </c>
      <c r="L355" t="s">
        <v>38</v>
      </c>
    </row>
    <row r="356" spans="2:12">
      <c r="B356" t="s">
        <v>38</v>
      </c>
      <c r="C356">
        <v>1</v>
      </c>
      <c r="H356" t="s">
        <v>38</v>
      </c>
      <c r="I356" t="s">
        <v>38</v>
      </c>
      <c r="J356" t="s">
        <v>38</v>
      </c>
      <c r="K356" t="s">
        <v>38</v>
      </c>
      <c r="L356" t="s">
        <v>38</v>
      </c>
    </row>
    <row r="357" spans="2:12">
      <c r="B357" t="s">
        <v>38</v>
      </c>
      <c r="C357">
        <v>1</v>
      </c>
      <c r="H357" t="s">
        <v>38</v>
      </c>
      <c r="I357" t="s">
        <v>38</v>
      </c>
      <c r="J357" t="s">
        <v>38</v>
      </c>
      <c r="K357" t="s">
        <v>38</v>
      </c>
      <c r="L357" t="s">
        <v>38</v>
      </c>
    </row>
    <row r="358" spans="2:12">
      <c r="B358" t="s">
        <v>38</v>
      </c>
      <c r="C358">
        <v>1</v>
      </c>
      <c r="H358" t="s">
        <v>38</v>
      </c>
      <c r="I358" t="s">
        <v>38</v>
      </c>
      <c r="J358" t="s">
        <v>38</v>
      </c>
      <c r="K358" t="s">
        <v>38</v>
      </c>
      <c r="L358" t="s">
        <v>38</v>
      </c>
    </row>
    <row r="359" spans="2:12">
      <c r="B359" t="s">
        <v>38</v>
      </c>
      <c r="C359">
        <v>1</v>
      </c>
      <c r="H359" t="s">
        <v>38</v>
      </c>
      <c r="I359" t="s">
        <v>38</v>
      </c>
      <c r="J359" t="s">
        <v>38</v>
      </c>
      <c r="K359" t="s">
        <v>38</v>
      </c>
      <c r="L359" t="s">
        <v>38</v>
      </c>
    </row>
    <row r="360" spans="2:12">
      <c r="B360" t="s">
        <v>38</v>
      </c>
      <c r="C360">
        <v>1</v>
      </c>
      <c r="H360" t="s">
        <v>38</v>
      </c>
      <c r="I360" t="s">
        <v>38</v>
      </c>
      <c r="J360" t="s">
        <v>38</v>
      </c>
      <c r="K360" t="s">
        <v>38</v>
      </c>
      <c r="L360" t="s">
        <v>38</v>
      </c>
    </row>
    <row r="361" spans="2:12">
      <c r="B361" t="s">
        <v>38</v>
      </c>
      <c r="C361">
        <v>1</v>
      </c>
      <c r="H361" t="s">
        <v>38</v>
      </c>
      <c r="I361" t="s">
        <v>38</v>
      </c>
      <c r="J361" t="s">
        <v>38</v>
      </c>
      <c r="K361" t="s">
        <v>38</v>
      </c>
      <c r="L361" t="s">
        <v>38</v>
      </c>
    </row>
    <row r="362" spans="2:12">
      <c r="B362" t="s">
        <v>38</v>
      </c>
      <c r="C362">
        <v>1</v>
      </c>
      <c r="H362" t="s">
        <v>38</v>
      </c>
      <c r="I362" t="s">
        <v>38</v>
      </c>
      <c r="J362" t="s">
        <v>38</v>
      </c>
      <c r="K362" t="s">
        <v>38</v>
      </c>
      <c r="L362" t="s">
        <v>38</v>
      </c>
    </row>
    <row r="363" spans="2:12">
      <c r="B363" t="s">
        <v>38</v>
      </c>
      <c r="C363">
        <v>1</v>
      </c>
      <c r="H363" t="s">
        <v>38</v>
      </c>
      <c r="I363" t="s">
        <v>38</v>
      </c>
      <c r="J363" t="s">
        <v>38</v>
      </c>
      <c r="K363" t="s">
        <v>38</v>
      </c>
      <c r="L363" t="s">
        <v>38</v>
      </c>
    </row>
    <row r="364" spans="2:12">
      <c r="B364" t="s">
        <v>38</v>
      </c>
      <c r="C364">
        <v>1</v>
      </c>
      <c r="H364" t="s">
        <v>38</v>
      </c>
      <c r="I364" t="s">
        <v>38</v>
      </c>
      <c r="J364" t="s">
        <v>38</v>
      </c>
      <c r="K364" t="s">
        <v>38</v>
      </c>
      <c r="L364" t="s">
        <v>38</v>
      </c>
    </row>
    <row r="365" spans="2:12">
      <c r="B365" t="s">
        <v>38</v>
      </c>
      <c r="C365">
        <v>1</v>
      </c>
      <c r="H365" t="s">
        <v>38</v>
      </c>
      <c r="I365" t="s">
        <v>38</v>
      </c>
      <c r="J365" t="s">
        <v>38</v>
      </c>
      <c r="K365" t="s">
        <v>38</v>
      </c>
      <c r="L365" t="s">
        <v>38</v>
      </c>
    </row>
    <row r="366" spans="2:12">
      <c r="B366" t="s">
        <v>38</v>
      </c>
      <c r="C366">
        <v>1</v>
      </c>
      <c r="H366" t="s">
        <v>38</v>
      </c>
      <c r="I366" t="s">
        <v>38</v>
      </c>
      <c r="J366" t="s">
        <v>38</v>
      </c>
      <c r="K366" t="s">
        <v>38</v>
      </c>
      <c r="L366" t="s">
        <v>38</v>
      </c>
    </row>
    <row r="369" spans="1:16">
      <c r="A369" t="s">
        <v>45</v>
      </c>
      <c r="B369" t="s">
        <v>211</v>
      </c>
      <c r="C369">
        <v>1</v>
      </c>
      <c r="E369">
        <v>0</v>
      </c>
      <c r="H369" t="s">
        <v>336</v>
      </c>
      <c r="I369" t="s">
        <v>306</v>
      </c>
      <c r="J369" t="s">
        <v>337</v>
      </c>
      <c r="K369" t="s">
        <v>38</v>
      </c>
      <c r="L369" t="s">
        <v>38</v>
      </c>
      <c r="O369">
        <v>40</v>
      </c>
      <c r="P369">
        <v>30420.68</v>
      </c>
    </row>
    <row r="370" spans="1:16">
      <c r="B370" t="s">
        <v>212</v>
      </c>
      <c r="C370">
        <v>1</v>
      </c>
      <c r="E370">
        <v>1</v>
      </c>
      <c r="H370" t="s">
        <v>336</v>
      </c>
      <c r="I370" t="s">
        <v>306</v>
      </c>
      <c r="J370" t="s">
        <v>337</v>
      </c>
      <c r="K370" t="s">
        <v>38</v>
      </c>
      <c r="L370" t="s">
        <v>38</v>
      </c>
    </row>
    <row r="371" spans="1:16">
      <c r="B371" t="s">
        <v>213</v>
      </c>
      <c r="C371">
        <v>1</v>
      </c>
      <c r="E371">
        <v>1</v>
      </c>
      <c r="H371" t="s">
        <v>336</v>
      </c>
      <c r="I371" t="s">
        <v>306</v>
      </c>
      <c r="J371" t="s">
        <v>337</v>
      </c>
      <c r="K371" t="s">
        <v>38</v>
      </c>
      <c r="L371" t="s">
        <v>38</v>
      </c>
    </row>
    <row r="372" spans="1:16">
      <c r="B372" t="s">
        <v>214</v>
      </c>
      <c r="C372">
        <v>1</v>
      </c>
      <c r="E372">
        <v>1</v>
      </c>
      <c r="H372" t="s">
        <v>336</v>
      </c>
      <c r="I372" t="s">
        <v>306</v>
      </c>
      <c r="J372" t="s">
        <v>337</v>
      </c>
      <c r="K372" t="s">
        <v>338</v>
      </c>
      <c r="L372" t="s">
        <v>339</v>
      </c>
    </row>
    <row r="373" spans="1:16">
      <c r="B373" t="s">
        <v>214</v>
      </c>
      <c r="C373">
        <v>1</v>
      </c>
      <c r="E373">
        <v>2</v>
      </c>
      <c r="H373" t="s">
        <v>340</v>
      </c>
      <c r="I373" t="s">
        <v>306</v>
      </c>
      <c r="J373" t="s">
        <v>337</v>
      </c>
      <c r="K373" t="s">
        <v>338</v>
      </c>
      <c r="L373" t="s">
        <v>339</v>
      </c>
    </row>
    <row r="374" spans="1:16">
      <c r="B374" t="s">
        <v>214</v>
      </c>
      <c r="C374">
        <v>1</v>
      </c>
      <c r="E374">
        <v>4</v>
      </c>
      <c r="H374" t="s">
        <v>341</v>
      </c>
      <c r="I374" t="s">
        <v>38</v>
      </c>
      <c r="J374" t="s">
        <v>38</v>
      </c>
      <c r="K374" t="s">
        <v>38</v>
      </c>
      <c r="L374" t="s">
        <v>339</v>
      </c>
    </row>
    <row r="375" spans="1:16">
      <c r="B375" t="s">
        <v>214</v>
      </c>
      <c r="C375">
        <v>0</v>
      </c>
      <c r="E375">
        <v>4</v>
      </c>
      <c r="H375" t="s">
        <v>341</v>
      </c>
      <c r="I375" t="s">
        <v>38</v>
      </c>
      <c r="J375" t="s">
        <v>38</v>
      </c>
      <c r="K375" t="s">
        <v>38</v>
      </c>
      <c r="L375" t="s">
        <v>339</v>
      </c>
    </row>
    <row r="376" spans="1:16">
      <c r="B376" t="s">
        <v>137</v>
      </c>
      <c r="C376">
        <v>1</v>
      </c>
      <c r="E376">
        <v>5</v>
      </c>
      <c r="H376" t="s">
        <v>38</v>
      </c>
      <c r="I376" t="s">
        <v>342</v>
      </c>
      <c r="J376" t="s">
        <v>38</v>
      </c>
      <c r="K376" t="s">
        <v>38</v>
      </c>
      <c r="L376" t="s">
        <v>339</v>
      </c>
    </row>
    <row r="377" spans="1:16">
      <c r="B377" t="s">
        <v>214</v>
      </c>
      <c r="C377">
        <v>1</v>
      </c>
      <c r="E377">
        <v>5</v>
      </c>
      <c r="G377">
        <v>1</v>
      </c>
      <c r="H377" t="s">
        <v>341</v>
      </c>
      <c r="I377" t="s">
        <v>343</v>
      </c>
      <c r="J377" t="s">
        <v>38</v>
      </c>
      <c r="K377" t="s">
        <v>38</v>
      </c>
      <c r="L377" t="s">
        <v>339</v>
      </c>
    </row>
    <row r="378" spans="1:16">
      <c r="B378" t="s">
        <v>214</v>
      </c>
      <c r="C378">
        <v>1</v>
      </c>
      <c r="E378">
        <v>5</v>
      </c>
      <c r="G378">
        <v>1</v>
      </c>
      <c r="H378" t="s">
        <v>341</v>
      </c>
      <c r="I378" t="s">
        <v>343</v>
      </c>
      <c r="J378" t="s">
        <v>38</v>
      </c>
      <c r="K378" t="s">
        <v>38</v>
      </c>
      <c r="L378" t="s">
        <v>339</v>
      </c>
    </row>
    <row r="379" spans="1:16">
      <c r="B379" t="s">
        <v>216</v>
      </c>
      <c r="C379">
        <v>1</v>
      </c>
      <c r="E379">
        <v>5</v>
      </c>
      <c r="G379">
        <v>1</v>
      </c>
      <c r="H379" t="s">
        <v>38</v>
      </c>
      <c r="I379" t="s">
        <v>342</v>
      </c>
      <c r="J379" t="s">
        <v>38</v>
      </c>
      <c r="K379" t="s">
        <v>38</v>
      </c>
      <c r="L379" t="s">
        <v>38</v>
      </c>
    </row>
    <row r="380" spans="1:16">
      <c r="B380" t="s">
        <v>214</v>
      </c>
      <c r="C380">
        <v>1</v>
      </c>
      <c r="E380">
        <v>5</v>
      </c>
      <c r="G380">
        <v>1</v>
      </c>
      <c r="H380" t="s">
        <v>341</v>
      </c>
      <c r="I380" t="s">
        <v>343</v>
      </c>
      <c r="J380" t="s">
        <v>337</v>
      </c>
      <c r="K380" t="s">
        <v>306</v>
      </c>
      <c r="L380" t="s">
        <v>38</v>
      </c>
    </row>
    <row r="381" spans="1:16">
      <c r="B381" t="s">
        <v>214</v>
      </c>
      <c r="C381">
        <v>0</v>
      </c>
      <c r="D381">
        <v>1</v>
      </c>
      <c r="E381">
        <v>5</v>
      </c>
      <c r="F381">
        <v>5</v>
      </c>
      <c r="G381">
        <v>1</v>
      </c>
      <c r="H381" t="s">
        <v>341</v>
      </c>
      <c r="I381" t="s">
        <v>343</v>
      </c>
      <c r="J381" t="s">
        <v>337</v>
      </c>
      <c r="K381" t="s">
        <v>306</v>
      </c>
      <c r="L381" t="s">
        <v>344</v>
      </c>
    </row>
    <row r="382" spans="1:16">
      <c r="B382" t="s">
        <v>206</v>
      </c>
      <c r="C382">
        <v>1</v>
      </c>
      <c r="D382">
        <v>1</v>
      </c>
      <c r="E382">
        <v>5</v>
      </c>
      <c r="F382">
        <v>5</v>
      </c>
      <c r="G382">
        <v>1</v>
      </c>
      <c r="H382" t="s">
        <v>38</v>
      </c>
      <c r="I382" t="s">
        <v>342</v>
      </c>
      <c r="J382" t="s">
        <v>337</v>
      </c>
      <c r="K382" t="s">
        <v>306</v>
      </c>
      <c r="L382" t="s">
        <v>38</v>
      </c>
    </row>
    <row r="383" spans="1:16">
      <c r="B383" t="s">
        <v>207</v>
      </c>
      <c r="C383">
        <v>1</v>
      </c>
      <c r="D383">
        <v>1</v>
      </c>
      <c r="E383">
        <v>5</v>
      </c>
      <c r="F383">
        <v>5</v>
      </c>
      <c r="G383">
        <v>1</v>
      </c>
      <c r="H383" t="s">
        <v>38</v>
      </c>
      <c r="I383" t="s">
        <v>342</v>
      </c>
      <c r="J383" t="s">
        <v>337</v>
      </c>
      <c r="K383" t="s">
        <v>306</v>
      </c>
      <c r="L383" t="s">
        <v>38</v>
      </c>
    </row>
    <row r="384" spans="1:16">
      <c r="B384" t="s">
        <v>214</v>
      </c>
      <c r="C384">
        <v>1</v>
      </c>
      <c r="D384">
        <v>1</v>
      </c>
      <c r="E384">
        <v>5</v>
      </c>
      <c r="F384">
        <v>5</v>
      </c>
      <c r="G384">
        <v>1</v>
      </c>
      <c r="H384" t="s">
        <v>341</v>
      </c>
      <c r="I384" t="s">
        <v>343</v>
      </c>
      <c r="J384" t="s">
        <v>38</v>
      </c>
      <c r="K384" t="s">
        <v>38</v>
      </c>
      <c r="L384" t="s">
        <v>38</v>
      </c>
    </row>
    <row r="385" spans="2:12">
      <c r="B385" t="s">
        <v>137</v>
      </c>
      <c r="C385">
        <v>1</v>
      </c>
      <c r="D385">
        <v>1</v>
      </c>
      <c r="E385">
        <v>5</v>
      </c>
      <c r="F385">
        <v>5</v>
      </c>
      <c r="G385">
        <v>1</v>
      </c>
      <c r="H385" t="s">
        <v>38</v>
      </c>
      <c r="I385" t="s">
        <v>342</v>
      </c>
      <c r="J385" t="s">
        <v>38</v>
      </c>
      <c r="K385" t="s">
        <v>38</v>
      </c>
      <c r="L385" t="s">
        <v>38</v>
      </c>
    </row>
    <row r="386" spans="2:12">
      <c r="B386" t="s">
        <v>214</v>
      </c>
      <c r="C386">
        <v>1</v>
      </c>
      <c r="D386">
        <v>1</v>
      </c>
      <c r="E386">
        <v>5</v>
      </c>
      <c r="F386">
        <v>5</v>
      </c>
      <c r="G386">
        <v>1</v>
      </c>
      <c r="H386" t="s">
        <v>341</v>
      </c>
      <c r="I386" t="s">
        <v>343</v>
      </c>
      <c r="J386" t="s">
        <v>38</v>
      </c>
      <c r="K386" t="s">
        <v>38</v>
      </c>
      <c r="L386" t="s">
        <v>344</v>
      </c>
    </row>
    <row r="387" spans="2:12">
      <c r="B387" t="s">
        <v>214</v>
      </c>
      <c r="C387">
        <v>1</v>
      </c>
      <c r="D387">
        <v>1</v>
      </c>
      <c r="E387">
        <v>5</v>
      </c>
      <c r="F387">
        <v>5</v>
      </c>
      <c r="G387">
        <v>1</v>
      </c>
      <c r="H387" t="s">
        <v>341</v>
      </c>
      <c r="I387" t="s">
        <v>343</v>
      </c>
      <c r="J387" t="s">
        <v>38</v>
      </c>
      <c r="K387" t="s">
        <v>38</v>
      </c>
      <c r="L387" t="s">
        <v>344</v>
      </c>
    </row>
    <row r="388" spans="2:12">
      <c r="B388" t="s">
        <v>216</v>
      </c>
      <c r="C388">
        <v>1</v>
      </c>
      <c r="E388">
        <v>5</v>
      </c>
      <c r="F388">
        <v>5</v>
      </c>
      <c r="H388" t="s">
        <v>38</v>
      </c>
      <c r="I388" t="s">
        <v>342</v>
      </c>
      <c r="J388" t="s">
        <v>38</v>
      </c>
      <c r="K388" t="s">
        <v>38</v>
      </c>
      <c r="L388" t="s">
        <v>38</v>
      </c>
    </row>
    <row r="389" spans="2:12">
      <c r="B389" t="s">
        <v>214</v>
      </c>
      <c r="C389">
        <v>1</v>
      </c>
      <c r="E389">
        <v>5</v>
      </c>
      <c r="F389">
        <v>5</v>
      </c>
      <c r="H389" t="s">
        <v>341</v>
      </c>
      <c r="I389" t="s">
        <v>38</v>
      </c>
      <c r="J389" t="s">
        <v>337</v>
      </c>
      <c r="K389" t="s">
        <v>306</v>
      </c>
      <c r="L389" t="s">
        <v>38</v>
      </c>
    </row>
    <row r="390" spans="2:12">
      <c r="B390" t="s">
        <v>214</v>
      </c>
      <c r="C390">
        <v>0</v>
      </c>
      <c r="E390">
        <v>5</v>
      </c>
      <c r="F390">
        <v>5</v>
      </c>
      <c r="H390" t="s">
        <v>341</v>
      </c>
      <c r="I390" t="s">
        <v>38</v>
      </c>
      <c r="J390" t="s">
        <v>337</v>
      </c>
      <c r="K390" t="s">
        <v>306</v>
      </c>
      <c r="L390" t="s">
        <v>38</v>
      </c>
    </row>
    <row r="391" spans="2:12">
      <c r="B391" t="s">
        <v>206</v>
      </c>
      <c r="C391">
        <v>1</v>
      </c>
      <c r="E391">
        <v>5</v>
      </c>
      <c r="H391" t="s">
        <v>38</v>
      </c>
      <c r="I391" t="s">
        <v>342</v>
      </c>
      <c r="J391" t="s">
        <v>337</v>
      </c>
      <c r="K391" t="s">
        <v>306</v>
      </c>
      <c r="L391" t="s">
        <v>38</v>
      </c>
    </row>
    <row r="392" spans="2:12">
      <c r="B392" t="s">
        <v>207</v>
      </c>
      <c r="C392">
        <v>1</v>
      </c>
      <c r="E392">
        <v>5</v>
      </c>
      <c r="H392" t="s">
        <v>38</v>
      </c>
      <c r="I392" t="s">
        <v>342</v>
      </c>
      <c r="J392" t="s">
        <v>337</v>
      </c>
      <c r="K392" t="s">
        <v>306</v>
      </c>
      <c r="L392" t="s">
        <v>38</v>
      </c>
    </row>
    <row r="393" spans="2:12">
      <c r="B393" t="s">
        <v>214</v>
      </c>
      <c r="C393">
        <v>1</v>
      </c>
      <c r="E393">
        <v>5</v>
      </c>
      <c r="H393" t="s">
        <v>341</v>
      </c>
      <c r="I393" t="s">
        <v>38</v>
      </c>
      <c r="J393" t="s">
        <v>38</v>
      </c>
      <c r="K393" t="s">
        <v>38</v>
      </c>
      <c r="L393" t="s">
        <v>38</v>
      </c>
    </row>
    <row r="394" spans="2:12">
      <c r="B394" t="s">
        <v>214</v>
      </c>
      <c r="C394">
        <v>1</v>
      </c>
      <c r="E394">
        <v>5</v>
      </c>
      <c r="H394" t="s">
        <v>341</v>
      </c>
      <c r="I394" t="s">
        <v>38</v>
      </c>
      <c r="J394" t="s">
        <v>38</v>
      </c>
      <c r="K394" t="s">
        <v>38</v>
      </c>
      <c r="L394" t="s">
        <v>38</v>
      </c>
    </row>
    <row r="395" spans="2:12">
      <c r="B395" t="s">
        <v>131</v>
      </c>
      <c r="C395">
        <v>3</v>
      </c>
      <c r="E395">
        <v>5</v>
      </c>
      <c r="H395" t="s">
        <v>38</v>
      </c>
      <c r="I395" t="s">
        <v>342</v>
      </c>
      <c r="J395" t="s">
        <v>38</v>
      </c>
      <c r="K395" t="s">
        <v>38</v>
      </c>
      <c r="L395" t="s">
        <v>38</v>
      </c>
    </row>
    <row r="396" spans="2:12">
      <c r="B396" t="s">
        <v>127</v>
      </c>
      <c r="C396">
        <v>33.5</v>
      </c>
      <c r="E396">
        <v>5</v>
      </c>
      <c r="H396" t="s">
        <v>38</v>
      </c>
      <c r="I396" t="s">
        <v>38</v>
      </c>
      <c r="J396" t="s">
        <v>38</v>
      </c>
      <c r="K396" t="s">
        <v>38</v>
      </c>
      <c r="L396" t="s">
        <v>38</v>
      </c>
    </row>
    <row r="397" spans="2:12">
      <c r="B397" t="s">
        <v>128</v>
      </c>
      <c r="C397">
        <v>33.5</v>
      </c>
      <c r="E397">
        <v>5</v>
      </c>
      <c r="H397" t="s">
        <v>38</v>
      </c>
      <c r="I397" t="s">
        <v>38</v>
      </c>
      <c r="J397" t="s">
        <v>38</v>
      </c>
      <c r="K397" t="s">
        <v>38</v>
      </c>
      <c r="L397" t="s">
        <v>38</v>
      </c>
    </row>
    <row r="398" spans="2:12">
      <c r="B398" t="s">
        <v>153</v>
      </c>
      <c r="C398">
        <v>1</v>
      </c>
      <c r="E398">
        <v>1</v>
      </c>
      <c r="H398" t="s">
        <v>38</v>
      </c>
      <c r="I398" t="s">
        <v>337</v>
      </c>
      <c r="J398" t="s">
        <v>339</v>
      </c>
      <c r="K398" t="s">
        <v>38</v>
      </c>
      <c r="L398" t="s">
        <v>38</v>
      </c>
    </row>
    <row r="399" spans="2:12">
      <c r="B399" t="s">
        <v>153</v>
      </c>
      <c r="C399">
        <v>1</v>
      </c>
      <c r="E399">
        <v>3</v>
      </c>
      <c r="H399" t="s">
        <v>38</v>
      </c>
      <c r="I399" t="s">
        <v>337</v>
      </c>
      <c r="J399" t="s">
        <v>339</v>
      </c>
      <c r="K399" t="s">
        <v>38</v>
      </c>
      <c r="L399" t="s">
        <v>38</v>
      </c>
    </row>
    <row r="400" spans="2:12">
      <c r="B400" t="s">
        <v>153</v>
      </c>
      <c r="C400">
        <v>1</v>
      </c>
      <c r="E400">
        <v>4</v>
      </c>
      <c r="H400" t="s">
        <v>38</v>
      </c>
      <c r="I400" t="s">
        <v>38</v>
      </c>
      <c r="J400" t="s">
        <v>339</v>
      </c>
      <c r="K400" t="s">
        <v>38</v>
      </c>
      <c r="L400" t="s">
        <v>38</v>
      </c>
    </row>
    <row r="401" spans="2:12">
      <c r="B401" t="s">
        <v>153</v>
      </c>
      <c r="C401">
        <v>2</v>
      </c>
      <c r="E401">
        <v>5</v>
      </c>
      <c r="H401" t="s">
        <v>38</v>
      </c>
      <c r="I401" t="s">
        <v>38</v>
      </c>
      <c r="J401" t="s">
        <v>339</v>
      </c>
      <c r="K401" t="s">
        <v>38</v>
      </c>
      <c r="L401" t="s">
        <v>38</v>
      </c>
    </row>
    <row r="402" spans="2:12">
      <c r="B402" t="s">
        <v>38</v>
      </c>
      <c r="C402">
        <v>1</v>
      </c>
      <c r="E402">
        <v>5</v>
      </c>
      <c r="H402" t="s">
        <v>38</v>
      </c>
      <c r="I402" t="s">
        <v>38</v>
      </c>
      <c r="J402" t="s">
        <v>38</v>
      </c>
      <c r="K402" t="s">
        <v>38</v>
      </c>
      <c r="L402" t="s">
        <v>38</v>
      </c>
    </row>
    <row r="403" spans="2:12">
      <c r="B403" t="s">
        <v>38</v>
      </c>
      <c r="C403">
        <v>1</v>
      </c>
      <c r="E403">
        <v>5</v>
      </c>
      <c r="H403" t="s">
        <v>38</v>
      </c>
      <c r="I403" t="s">
        <v>38</v>
      </c>
      <c r="J403" t="s">
        <v>38</v>
      </c>
      <c r="K403" t="s">
        <v>38</v>
      </c>
      <c r="L403" t="s">
        <v>38</v>
      </c>
    </row>
    <row r="404" spans="2:12">
      <c r="B404" t="s">
        <v>38</v>
      </c>
      <c r="C404">
        <v>1</v>
      </c>
      <c r="E404">
        <v>5</v>
      </c>
      <c r="H404" t="s">
        <v>38</v>
      </c>
      <c r="I404" t="s">
        <v>38</v>
      </c>
      <c r="J404" t="s">
        <v>38</v>
      </c>
      <c r="K404" t="s">
        <v>38</v>
      </c>
      <c r="L404" t="s">
        <v>38</v>
      </c>
    </row>
    <row r="405" spans="2:12">
      <c r="B405" t="s">
        <v>38</v>
      </c>
      <c r="C405">
        <v>1</v>
      </c>
      <c r="E405">
        <v>5</v>
      </c>
      <c r="H405" t="s">
        <v>38</v>
      </c>
      <c r="I405" t="s">
        <v>38</v>
      </c>
      <c r="J405" t="s">
        <v>38</v>
      </c>
      <c r="K405" t="s">
        <v>38</v>
      </c>
      <c r="L405" t="s">
        <v>38</v>
      </c>
    </row>
    <row r="406" spans="2:12">
      <c r="B406" t="s">
        <v>38</v>
      </c>
      <c r="C406">
        <v>1</v>
      </c>
      <c r="E406">
        <v>5</v>
      </c>
      <c r="H406" t="s">
        <v>38</v>
      </c>
      <c r="I406" t="s">
        <v>38</v>
      </c>
      <c r="J406" t="s">
        <v>38</v>
      </c>
      <c r="K406" t="s">
        <v>38</v>
      </c>
      <c r="L406" t="s">
        <v>38</v>
      </c>
    </row>
    <row r="407" spans="2:12">
      <c r="B407" t="s">
        <v>38</v>
      </c>
      <c r="C407">
        <v>1</v>
      </c>
      <c r="E407">
        <v>5</v>
      </c>
      <c r="H407" t="s">
        <v>38</v>
      </c>
      <c r="I407" t="s">
        <v>38</v>
      </c>
      <c r="J407" t="s">
        <v>38</v>
      </c>
      <c r="K407" t="s">
        <v>38</v>
      </c>
      <c r="L407" t="s">
        <v>38</v>
      </c>
    </row>
    <row r="408" spans="2:12">
      <c r="B408" t="s">
        <v>38</v>
      </c>
      <c r="C408">
        <v>1</v>
      </c>
      <c r="E408">
        <v>5</v>
      </c>
      <c r="H408" t="s">
        <v>38</v>
      </c>
      <c r="I408" t="s">
        <v>38</v>
      </c>
      <c r="J408" t="s">
        <v>38</v>
      </c>
      <c r="K408" t="s">
        <v>38</v>
      </c>
      <c r="L408" t="s">
        <v>38</v>
      </c>
    </row>
    <row r="409" spans="2:12">
      <c r="B409" t="s">
        <v>38</v>
      </c>
      <c r="C409">
        <v>1</v>
      </c>
      <c r="E409">
        <v>5</v>
      </c>
      <c r="H409" t="s">
        <v>38</v>
      </c>
      <c r="I409" t="s">
        <v>38</v>
      </c>
      <c r="J409" t="s">
        <v>38</v>
      </c>
      <c r="K409" t="s">
        <v>38</v>
      </c>
      <c r="L409" t="s">
        <v>38</v>
      </c>
    </row>
    <row r="410" spans="2:12">
      <c r="B410" t="s">
        <v>38</v>
      </c>
      <c r="C410">
        <v>1</v>
      </c>
      <c r="E410">
        <v>5</v>
      </c>
      <c r="H410" t="s">
        <v>38</v>
      </c>
      <c r="I410" t="s">
        <v>38</v>
      </c>
      <c r="J410" t="s">
        <v>38</v>
      </c>
      <c r="K410" t="s">
        <v>38</v>
      </c>
      <c r="L410" t="s">
        <v>38</v>
      </c>
    </row>
    <row r="411" spans="2:12">
      <c r="B411" t="s">
        <v>38</v>
      </c>
      <c r="C411">
        <v>1</v>
      </c>
      <c r="E411">
        <v>5</v>
      </c>
      <c r="H411" t="s">
        <v>38</v>
      </c>
      <c r="I411" t="s">
        <v>38</v>
      </c>
      <c r="J411" t="s">
        <v>38</v>
      </c>
      <c r="K411" t="s">
        <v>38</v>
      </c>
      <c r="L411" t="s">
        <v>38</v>
      </c>
    </row>
    <row r="412" spans="2:12">
      <c r="B412" t="s">
        <v>38</v>
      </c>
      <c r="C412">
        <v>1</v>
      </c>
      <c r="E412">
        <v>5</v>
      </c>
      <c r="H412" t="s">
        <v>38</v>
      </c>
      <c r="I412" t="s">
        <v>38</v>
      </c>
      <c r="J412" t="s">
        <v>38</v>
      </c>
      <c r="K412" t="s">
        <v>38</v>
      </c>
      <c r="L412" t="s">
        <v>38</v>
      </c>
    </row>
    <row r="413" spans="2:12">
      <c r="B413" t="s">
        <v>38</v>
      </c>
      <c r="C413">
        <v>1</v>
      </c>
      <c r="E413">
        <v>5</v>
      </c>
      <c r="H413" t="s">
        <v>38</v>
      </c>
      <c r="I413" t="s">
        <v>38</v>
      </c>
      <c r="J413" t="s">
        <v>38</v>
      </c>
      <c r="K413" t="s">
        <v>38</v>
      </c>
      <c r="L413" t="s">
        <v>38</v>
      </c>
    </row>
    <row r="414" spans="2:12">
      <c r="B414" t="s">
        <v>38</v>
      </c>
      <c r="C414">
        <v>1</v>
      </c>
      <c r="E414">
        <v>5</v>
      </c>
      <c r="H414" t="s">
        <v>38</v>
      </c>
      <c r="I414" t="s">
        <v>38</v>
      </c>
      <c r="J414" t="s">
        <v>38</v>
      </c>
      <c r="K414" t="s">
        <v>38</v>
      </c>
      <c r="L414" t="s">
        <v>38</v>
      </c>
    </row>
    <row r="415" spans="2:12">
      <c r="B415" t="s">
        <v>38</v>
      </c>
      <c r="C415">
        <v>1</v>
      </c>
      <c r="E415">
        <v>5</v>
      </c>
      <c r="H415" t="s">
        <v>38</v>
      </c>
      <c r="I415" t="s">
        <v>38</v>
      </c>
      <c r="J415" t="s">
        <v>38</v>
      </c>
      <c r="K415" t="s">
        <v>38</v>
      </c>
      <c r="L415" t="s">
        <v>38</v>
      </c>
    </row>
    <row r="416" spans="2:12">
      <c r="B416" t="s">
        <v>38</v>
      </c>
      <c r="C416">
        <v>1</v>
      </c>
      <c r="E416">
        <v>5</v>
      </c>
      <c r="H416" t="s">
        <v>38</v>
      </c>
      <c r="I416" t="s">
        <v>38</v>
      </c>
      <c r="J416" t="s">
        <v>38</v>
      </c>
      <c r="K416" t="s">
        <v>38</v>
      </c>
      <c r="L416" t="s">
        <v>38</v>
      </c>
    </row>
    <row r="417" spans="2:12">
      <c r="B417" t="s">
        <v>38</v>
      </c>
      <c r="C417">
        <v>1</v>
      </c>
      <c r="H417" t="s">
        <v>38</v>
      </c>
      <c r="I417" t="s">
        <v>38</v>
      </c>
      <c r="J417" t="s">
        <v>38</v>
      </c>
      <c r="K417" t="s">
        <v>38</v>
      </c>
      <c r="L417" t="s">
        <v>38</v>
      </c>
    </row>
    <row r="418" spans="2:12">
      <c r="B418" t="s">
        <v>38</v>
      </c>
      <c r="C418">
        <v>1</v>
      </c>
      <c r="H418" t="s">
        <v>38</v>
      </c>
      <c r="I418" t="s">
        <v>38</v>
      </c>
      <c r="J418" t="s">
        <v>38</v>
      </c>
      <c r="K418" t="s">
        <v>38</v>
      </c>
      <c r="L418" t="s">
        <v>38</v>
      </c>
    </row>
    <row r="419" spans="2:12">
      <c r="B419" t="s">
        <v>38</v>
      </c>
      <c r="C419">
        <v>1</v>
      </c>
      <c r="H419" t="s">
        <v>38</v>
      </c>
      <c r="I419" t="s">
        <v>38</v>
      </c>
      <c r="J419" t="s">
        <v>38</v>
      </c>
      <c r="K419" t="s">
        <v>38</v>
      </c>
      <c r="L419" t="s">
        <v>38</v>
      </c>
    </row>
    <row r="420" spans="2:12">
      <c r="B420" t="s">
        <v>38</v>
      </c>
      <c r="C420">
        <v>1</v>
      </c>
      <c r="H420" t="s">
        <v>38</v>
      </c>
      <c r="I420" t="s">
        <v>38</v>
      </c>
      <c r="J420" t="s">
        <v>38</v>
      </c>
      <c r="K420" t="s">
        <v>38</v>
      </c>
      <c r="L420" t="s">
        <v>38</v>
      </c>
    </row>
    <row r="421" spans="2:12">
      <c r="B421" t="s">
        <v>38</v>
      </c>
      <c r="C421">
        <v>1</v>
      </c>
      <c r="H421" t="s">
        <v>38</v>
      </c>
      <c r="I421" t="s">
        <v>38</v>
      </c>
      <c r="J421" t="s">
        <v>38</v>
      </c>
      <c r="K421" t="s">
        <v>38</v>
      </c>
      <c r="L421" t="s">
        <v>38</v>
      </c>
    </row>
    <row r="422" spans="2:12">
      <c r="B422" t="s">
        <v>38</v>
      </c>
      <c r="C422">
        <v>1</v>
      </c>
      <c r="H422" t="s">
        <v>38</v>
      </c>
      <c r="I422" t="s">
        <v>38</v>
      </c>
      <c r="J422" t="s">
        <v>38</v>
      </c>
      <c r="K422" t="s">
        <v>38</v>
      </c>
      <c r="L422" t="s">
        <v>38</v>
      </c>
    </row>
    <row r="423" spans="2:12">
      <c r="B423" t="s">
        <v>38</v>
      </c>
      <c r="C423">
        <v>1</v>
      </c>
      <c r="H423" t="s">
        <v>38</v>
      </c>
      <c r="I423" t="s">
        <v>38</v>
      </c>
      <c r="J423" t="s">
        <v>38</v>
      </c>
      <c r="K423" t="s">
        <v>38</v>
      </c>
      <c r="L423" t="s">
        <v>38</v>
      </c>
    </row>
    <row r="424" spans="2:12">
      <c r="B424" t="s">
        <v>38</v>
      </c>
      <c r="C424">
        <v>1</v>
      </c>
      <c r="H424" t="s">
        <v>38</v>
      </c>
      <c r="I424" t="s">
        <v>38</v>
      </c>
      <c r="J424" t="s">
        <v>38</v>
      </c>
      <c r="K424" t="s">
        <v>38</v>
      </c>
      <c r="L424" t="s">
        <v>38</v>
      </c>
    </row>
    <row r="425" spans="2:12">
      <c r="B425" t="s">
        <v>38</v>
      </c>
      <c r="C425">
        <v>1</v>
      </c>
      <c r="H425" t="s">
        <v>38</v>
      </c>
      <c r="I425" t="s">
        <v>38</v>
      </c>
      <c r="J425" t="s">
        <v>38</v>
      </c>
      <c r="K425" t="s">
        <v>38</v>
      </c>
      <c r="L425" t="s">
        <v>38</v>
      </c>
    </row>
    <row r="426" spans="2:12">
      <c r="B426" t="s">
        <v>38</v>
      </c>
      <c r="C426">
        <v>1</v>
      </c>
      <c r="H426" t="s">
        <v>38</v>
      </c>
      <c r="I426" t="s">
        <v>38</v>
      </c>
      <c r="J426" t="s">
        <v>38</v>
      </c>
      <c r="K426" t="s">
        <v>38</v>
      </c>
      <c r="L426" t="s">
        <v>38</v>
      </c>
    </row>
    <row r="427" spans="2:12">
      <c r="B427" t="s">
        <v>38</v>
      </c>
      <c r="C427">
        <v>1</v>
      </c>
      <c r="H427" t="s">
        <v>38</v>
      </c>
      <c r="I427" t="s">
        <v>38</v>
      </c>
      <c r="J427" t="s">
        <v>38</v>
      </c>
      <c r="K427" t="s">
        <v>38</v>
      </c>
      <c r="L427" t="s">
        <v>38</v>
      </c>
    </row>
    <row r="428" spans="2:12">
      <c r="B428" t="s">
        <v>38</v>
      </c>
      <c r="C428">
        <v>1</v>
      </c>
      <c r="H428" t="s">
        <v>38</v>
      </c>
      <c r="I428" t="s">
        <v>38</v>
      </c>
      <c r="J428" t="s">
        <v>38</v>
      </c>
      <c r="K428" t="s">
        <v>38</v>
      </c>
      <c r="L428" t="s">
        <v>38</v>
      </c>
    </row>
    <row r="429" spans="2:12">
      <c r="B429" t="s">
        <v>38</v>
      </c>
      <c r="C429">
        <v>1</v>
      </c>
      <c r="H429" t="s">
        <v>38</v>
      </c>
      <c r="I429" t="s">
        <v>38</v>
      </c>
      <c r="J429" t="s">
        <v>38</v>
      </c>
      <c r="K429" t="s">
        <v>38</v>
      </c>
      <c r="L429" t="s">
        <v>38</v>
      </c>
    </row>
    <row r="430" spans="2:12">
      <c r="B430" t="s">
        <v>38</v>
      </c>
      <c r="C430">
        <v>1</v>
      </c>
      <c r="H430" t="s">
        <v>38</v>
      </c>
      <c r="I430" t="s">
        <v>38</v>
      </c>
      <c r="J430" t="s">
        <v>38</v>
      </c>
      <c r="K430" t="s">
        <v>38</v>
      </c>
      <c r="L430" t="s">
        <v>38</v>
      </c>
    </row>
    <row r="431" spans="2:12">
      <c r="B431" t="s">
        <v>38</v>
      </c>
      <c r="C431">
        <v>1</v>
      </c>
      <c r="H431" t="s">
        <v>38</v>
      </c>
      <c r="I431" t="s">
        <v>38</v>
      </c>
      <c r="J431" t="s">
        <v>38</v>
      </c>
      <c r="K431" t="s">
        <v>38</v>
      </c>
      <c r="L431" t="s">
        <v>38</v>
      </c>
    </row>
    <row r="432" spans="2:12">
      <c r="B432" t="s">
        <v>38</v>
      </c>
      <c r="C432">
        <v>1</v>
      </c>
      <c r="H432" t="s">
        <v>38</v>
      </c>
      <c r="I432" t="s">
        <v>38</v>
      </c>
      <c r="J432" t="s">
        <v>38</v>
      </c>
      <c r="K432" t="s">
        <v>38</v>
      </c>
      <c r="L432" t="s">
        <v>38</v>
      </c>
    </row>
    <row r="433" spans="2:12">
      <c r="B433" t="s">
        <v>38</v>
      </c>
      <c r="C433">
        <v>1</v>
      </c>
      <c r="H433" t="s">
        <v>38</v>
      </c>
      <c r="I433" t="s">
        <v>38</v>
      </c>
      <c r="J433" t="s">
        <v>38</v>
      </c>
      <c r="K433" t="s">
        <v>38</v>
      </c>
      <c r="L433" t="s">
        <v>38</v>
      </c>
    </row>
    <row r="434" spans="2:12">
      <c r="B434" t="s">
        <v>38</v>
      </c>
      <c r="C434">
        <v>1</v>
      </c>
      <c r="H434" t="s">
        <v>38</v>
      </c>
      <c r="I434" t="s">
        <v>38</v>
      </c>
      <c r="J434" t="s">
        <v>38</v>
      </c>
      <c r="K434" t="s">
        <v>38</v>
      </c>
      <c r="L434" t="s">
        <v>38</v>
      </c>
    </row>
    <row r="435" spans="2:12">
      <c r="B435" t="s">
        <v>38</v>
      </c>
      <c r="C435">
        <v>1</v>
      </c>
      <c r="H435" t="s">
        <v>38</v>
      </c>
      <c r="I435" t="s">
        <v>38</v>
      </c>
      <c r="J435" t="s">
        <v>38</v>
      </c>
      <c r="K435" t="s">
        <v>38</v>
      </c>
      <c r="L435" t="s">
        <v>38</v>
      </c>
    </row>
    <row r="436" spans="2:12">
      <c r="B436" t="s">
        <v>38</v>
      </c>
      <c r="C436">
        <v>1</v>
      </c>
      <c r="H436" t="s">
        <v>38</v>
      </c>
      <c r="I436" t="s">
        <v>38</v>
      </c>
      <c r="J436" t="s">
        <v>38</v>
      </c>
      <c r="K436" t="s">
        <v>38</v>
      </c>
      <c r="L436" t="s">
        <v>38</v>
      </c>
    </row>
    <row r="437" spans="2:12">
      <c r="B437" t="s">
        <v>38</v>
      </c>
      <c r="C437">
        <v>1</v>
      </c>
      <c r="H437" t="s">
        <v>38</v>
      </c>
      <c r="I437" t="s">
        <v>38</v>
      </c>
      <c r="J437" t="s">
        <v>38</v>
      </c>
      <c r="K437" t="s">
        <v>38</v>
      </c>
      <c r="L437" t="s">
        <v>38</v>
      </c>
    </row>
    <row r="438" spans="2:12">
      <c r="B438" t="s">
        <v>38</v>
      </c>
      <c r="C438">
        <v>1</v>
      </c>
      <c r="H438" t="s">
        <v>38</v>
      </c>
      <c r="I438" t="s">
        <v>38</v>
      </c>
      <c r="J438" t="s">
        <v>38</v>
      </c>
      <c r="K438" t="s">
        <v>38</v>
      </c>
      <c r="L438" t="s">
        <v>38</v>
      </c>
    </row>
    <row r="439" spans="2:12">
      <c r="B439" t="s">
        <v>38</v>
      </c>
      <c r="C439">
        <v>1</v>
      </c>
      <c r="H439" t="s">
        <v>38</v>
      </c>
      <c r="I439" t="s">
        <v>38</v>
      </c>
      <c r="J439" t="s">
        <v>38</v>
      </c>
      <c r="K439" t="s">
        <v>38</v>
      </c>
      <c r="L439" t="s">
        <v>38</v>
      </c>
    </row>
    <row r="440" spans="2:12">
      <c r="B440" t="s">
        <v>38</v>
      </c>
      <c r="C440">
        <v>1</v>
      </c>
      <c r="H440" t="s">
        <v>38</v>
      </c>
      <c r="I440" t="s">
        <v>38</v>
      </c>
      <c r="J440" t="s">
        <v>38</v>
      </c>
      <c r="K440" t="s">
        <v>38</v>
      </c>
      <c r="L440" t="s">
        <v>38</v>
      </c>
    </row>
    <row r="441" spans="2:12">
      <c r="B441" t="s">
        <v>38</v>
      </c>
      <c r="C441">
        <v>1</v>
      </c>
      <c r="H441" t="s">
        <v>38</v>
      </c>
      <c r="I441" t="s">
        <v>38</v>
      </c>
      <c r="J441" t="s">
        <v>38</v>
      </c>
      <c r="K441" t="s">
        <v>38</v>
      </c>
      <c r="L441" t="s">
        <v>38</v>
      </c>
    </row>
    <row r="442" spans="2:12">
      <c r="B442" t="s">
        <v>38</v>
      </c>
      <c r="C442">
        <v>1</v>
      </c>
      <c r="H442" t="s">
        <v>38</v>
      </c>
      <c r="I442" t="s">
        <v>38</v>
      </c>
      <c r="J442" t="s">
        <v>38</v>
      </c>
      <c r="K442" t="s">
        <v>38</v>
      </c>
      <c r="L442" t="s">
        <v>38</v>
      </c>
    </row>
    <row r="443" spans="2:12">
      <c r="B443" t="s">
        <v>38</v>
      </c>
      <c r="C443">
        <v>1</v>
      </c>
      <c r="H443" t="s">
        <v>38</v>
      </c>
      <c r="I443" t="s">
        <v>38</v>
      </c>
      <c r="J443" t="s">
        <v>38</v>
      </c>
      <c r="K443" t="s">
        <v>38</v>
      </c>
      <c r="L443" t="s">
        <v>38</v>
      </c>
    </row>
    <row r="444" spans="2:12">
      <c r="B444" t="s">
        <v>38</v>
      </c>
      <c r="C444">
        <v>1</v>
      </c>
      <c r="H444" t="s">
        <v>38</v>
      </c>
      <c r="I444" t="s">
        <v>38</v>
      </c>
      <c r="J444" t="s">
        <v>38</v>
      </c>
      <c r="K444" t="s">
        <v>38</v>
      </c>
      <c r="L444" t="s">
        <v>38</v>
      </c>
    </row>
    <row r="445" spans="2:12">
      <c r="B445" t="s">
        <v>38</v>
      </c>
      <c r="C445">
        <v>1</v>
      </c>
      <c r="H445" t="s">
        <v>38</v>
      </c>
      <c r="I445" t="s">
        <v>38</v>
      </c>
      <c r="J445" t="s">
        <v>38</v>
      </c>
      <c r="K445" t="s">
        <v>38</v>
      </c>
      <c r="L445" t="s">
        <v>38</v>
      </c>
    </row>
    <row r="446" spans="2:12">
      <c r="B446" t="s">
        <v>38</v>
      </c>
      <c r="C446">
        <v>1</v>
      </c>
      <c r="H446" t="s">
        <v>38</v>
      </c>
      <c r="I446" t="s">
        <v>38</v>
      </c>
      <c r="J446" t="s">
        <v>38</v>
      </c>
      <c r="K446" t="s">
        <v>38</v>
      </c>
      <c r="L446" t="s">
        <v>38</v>
      </c>
    </row>
    <row r="447" spans="2:12">
      <c r="B447" t="s">
        <v>38</v>
      </c>
      <c r="C447">
        <v>1</v>
      </c>
      <c r="H447" t="s">
        <v>38</v>
      </c>
      <c r="I447" t="s">
        <v>38</v>
      </c>
      <c r="J447" t="s">
        <v>38</v>
      </c>
      <c r="K447" t="s">
        <v>38</v>
      </c>
      <c r="L447" t="s">
        <v>38</v>
      </c>
    </row>
    <row r="448" spans="2:12">
      <c r="B448" t="s">
        <v>38</v>
      </c>
      <c r="C448">
        <v>1</v>
      </c>
      <c r="H448" t="s">
        <v>38</v>
      </c>
      <c r="I448" t="s">
        <v>38</v>
      </c>
      <c r="J448" t="s">
        <v>38</v>
      </c>
      <c r="K448" t="s">
        <v>38</v>
      </c>
      <c r="L448" t="s">
        <v>38</v>
      </c>
    </row>
    <row r="449" spans="1:16">
      <c r="B449" t="s">
        <v>38</v>
      </c>
      <c r="C449">
        <v>1</v>
      </c>
      <c r="H449" t="s">
        <v>38</v>
      </c>
      <c r="I449" t="s">
        <v>38</v>
      </c>
      <c r="J449" t="s">
        <v>38</v>
      </c>
      <c r="K449" t="s">
        <v>38</v>
      </c>
      <c r="L449" t="s">
        <v>38</v>
      </c>
    </row>
    <row r="450" spans="1:16">
      <c r="B450" t="s">
        <v>38</v>
      </c>
      <c r="C450">
        <v>1</v>
      </c>
      <c r="H450" t="s">
        <v>38</v>
      </c>
      <c r="I450" t="s">
        <v>38</v>
      </c>
      <c r="J450" t="s">
        <v>38</v>
      </c>
      <c r="K450" t="s">
        <v>38</v>
      </c>
      <c r="L450" t="s">
        <v>38</v>
      </c>
    </row>
    <row r="451" spans="1:16">
      <c r="B451" t="s">
        <v>38</v>
      </c>
      <c r="C451">
        <v>1</v>
      </c>
      <c r="H451" t="s">
        <v>38</v>
      </c>
      <c r="I451" t="s">
        <v>38</v>
      </c>
      <c r="J451" t="s">
        <v>38</v>
      </c>
      <c r="K451" t="s">
        <v>38</v>
      </c>
      <c r="L451" t="s">
        <v>38</v>
      </c>
    </row>
    <row r="452" spans="1:16">
      <c r="B452" t="s">
        <v>38</v>
      </c>
      <c r="C452">
        <v>1</v>
      </c>
      <c r="H452" t="s">
        <v>38</v>
      </c>
      <c r="I452" t="s">
        <v>38</v>
      </c>
      <c r="J452" t="s">
        <v>38</v>
      </c>
      <c r="K452" t="s">
        <v>38</v>
      </c>
      <c r="L452" t="s">
        <v>38</v>
      </c>
    </row>
    <row r="453" spans="1:16">
      <c r="B453" t="s">
        <v>38</v>
      </c>
      <c r="C453">
        <v>1</v>
      </c>
      <c r="H453" t="s">
        <v>38</v>
      </c>
      <c r="I453" t="s">
        <v>38</v>
      </c>
      <c r="J453" t="s">
        <v>38</v>
      </c>
      <c r="K453" t="s">
        <v>38</v>
      </c>
      <c r="L453" t="s">
        <v>38</v>
      </c>
    </row>
    <row r="454" spans="1:16">
      <c r="B454" t="s">
        <v>38</v>
      </c>
      <c r="C454">
        <v>1</v>
      </c>
      <c r="H454" t="s">
        <v>38</v>
      </c>
      <c r="I454" t="s">
        <v>38</v>
      </c>
      <c r="J454" t="s">
        <v>38</v>
      </c>
      <c r="K454" t="s">
        <v>38</v>
      </c>
      <c r="L454" t="s">
        <v>38</v>
      </c>
    </row>
    <row r="455" spans="1:16">
      <c r="B455" t="s">
        <v>38</v>
      </c>
      <c r="C455">
        <v>1</v>
      </c>
      <c r="H455" t="s">
        <v>38</v>
      </c>
      <c r="I455" t="s">
        <v>38</v>
      </c>
      <c r="J455" t="s">
        <v>38</v>
      </c>
      <c r="K455" t="s">
        <v>38</v>
      </c>
      <c r="L455" t="s">
        <v>38</v>
      </c>
    </row>
    <row r="456" spans="1:16">
      <c r="B456" t="s">
        <v>38</v>
      </c>
      <c r="C456">
        <v>1</v>
      </c>
      <c r="H456" t="s">
        <v>38</v>
      </c>
      <c r="I456" t="s">
        <v>38</v>
      </c>
      <c r="J456" t="s">
        <v>38</v>
      </c>
      <c r="K456" t="s">
        <v>38</v>
      </c>
      <c r="L456" t="s">
        <v>38</v>
      </c>
    </row>
    <row r="457" spans="1:16">
      <c r="B457" t="s">
        <v>38</v>
      </c>
      <c r="C457">
        <v>1</v>
      </c>
      <c r="H457" t="s">
        <v>38</v>
      </c>
      <c r="I457" t="s">
        <v>38</v>
      </c>
      <c r="J457" t="s">
        <v>38</v>
      </c>
      <c r="K457" t="s">
        <v>38</v>
      </c>
      <c r="L457" t="s">
        <v>38</v>
      </c>
    </row>
    <row r="458" spans="1:16">
      <c r="B458" t="s">
        <v>38</v>
      </c>
      <c r="C458">
        <v>1</v>
      </c>
      <c r="H458" t="s">
        <v>38</v>
      </c>
      <c r="I458" t="s">
        <v>38</v>
      </c>
      <c r="J458" t="s">
        <v>38</v>
      </c>
      <c r="K458" t="s">
        <v>38</v>
      </c>
      <c r="L458" t="s">
        <v>38</v>
      </c>
    </row>
    <row r="460" spans="1:16">
      <c r="A460" t="s">
        <v>101</v>
      </c>
      <c r="B460" t="s">
        <v>218</v>
      </c>
      <c r="C460">
        <v>1</v>
      </c>
      <c r="E460">
        <v>0</v>
      </c>
      <c r="H460" t="s">
        <v>324</v>
      </c>
      <c r="I460" t="s">
        <v>38</v>
      </c>
      <c r="J460" t="s">
        <v>38</v>
      </c>
      <c r="K460" t="s">
        <v>38</v>
      </c>
      <c r="L460" t="s">
        <v>38</v>
      </c>
      <c r="M460" t="s">
        <v>345</v>
      </c>
      <c r="O460">
        <v>40</v>
      </c>
      <c r="P460">
        <v>45840.17</v>
      </c>
    </row>
    <row r="461" spans="1:16">
      <c r="B461" t="s">
        <v>219</v>
      </c>
      <c r="C461">
        <v>1</v>
      </c>
      <c r="E461">
        <v>1</v>
      </c>
      <c r="H461" t="s">
        <v>346</v>
      </c>
      <c r="I461" t="s">
        <v>324</v>
      </c>
      <c r="J461" t="s">
        <v>38</v>
      </c>
      <c r="K461" t="s">
        <v>38</v>
      </c>
      <c r="L461" t="s">
        <v>38</v>
      </c>
      <c r="M461" t="s">
        <v>347</v>
      </c>
    </row>
    <row r="462" spans="1:16">
      <c r="B462" t="s">
        <v>221</v>
      </c>
      <c r="C462">
        <v>1</v>
      </c>
      <c r="E462">
        <v>2</v>
      </c>
      <c r="H462" t="s">
        <v>348</v>
      </c>
      <c r="I462" t="s">
        <v>339</v>
      </c>
      <c r="J462" t="s">
        <v>349</v>
      </c>
      <c r="K462" t="s">
        <v>38</v>
      </c>
      <c r="L462" t="s">
        <v>38</v>
      </c>
      <c r="M462" t="s">
        <v>350</v>
      </c>
    </row>
    <row r="463" spans="1:16">
      <c r="B463" t="s">
        <v>153</v>
      </c>
      <c r="C463">
        <v>1</v>
      </c>
      <c r="E463">
        <v>1</v>
      </c>
      <c r="H463" t="s">
        <v>38</v>
      </c>
      <c r="I463" t="s">
        <v>324</v>
      </c>
      <c r="J463" t="s">
        <v>38</v>
      </c>
      <c r="K463" t="s">
        <v>38</v>
      </c>
      <c r="L463" t="s">
        <v>38</v>
      </c>
    </row>
    <row r="464" spans="1:16">
      <c r="B464" t="s">
        <v>153</v>
      </c>
      <c r="C464">
        <v>1</v>
      </c>
      <c r="E464">
        <v>2</v>
      </c>
      <c r="H464" t="s">
        <v>348</v>
      </c>
      <c r="I464" t="s">
        <v>339</v>
      </c>
      <c r="J464" t="s">
        <v>349</v>
      </c>
      <c r="K464" t="s">
        <v>38</v>
      </c>
      <c r="L464" t="s">
        <v>38</v>
      </c>
    </row>
    <row r="465" spans="2:13">
      <c r="B465" t="s">
        <v>222</v>
      </c>
      <c r="C465">
        <v>1</v>
      </c>
      <c r="E465">
        <v>2</v>
      </c>
      <c r="H465" t="s">
        <v>38</v>
      </c>
      <c r="I465" t="s">
        <v>38</v>
      </c>
      <c r="J465" t="s">
        <v>38</v>
      </c>
      <c r="K465" t="s">
        <v>38</v>
      </c>
      <c r="L465" t="s">
        <v>38</v>
      </c>
    </row>
    <row r="466" spans="2:13">
      <c r="B466" t="s">
        <v>223</v>
      </c>
      <c r="C466">
        <v>1</v>
      </c>
      <c r="E466">
        <v>2</v>
      </c>
      <c r="H466" t="s">
        <v>38</v>
      </c>
      <c r="I466" t="s">
        <v>339</v>
      </c>
      <c r="J466" t="s">
        <v>349</v>
      </c>
      <c r="K466" t="s">
        <v>38</v>
      </c>
      <c r="L466" t="s">
        <v>38</v>
      </c>
      <c r="M466" t="s">
        <v>351</v>
      </c>
    </row>
    <row r="467" spans="2:13">
      <c r="B467" t="s">
        <v>225</v>
      </c>
      <c r="C467">
        <v>2</v>
      </c>
      <c r="E467">
        <v>2</v>
      </c>
      <c r="H467" t="s">
        <v>38</v>
      </c>
      <c r="I467" t="s">
        <v>38</v>
      </c>
      <c r="J467" t="s">
        <v>349</v>
      </c>
      <c r="K467" t="s">
        <v>339</v>
      </c>
      <c r="L467" t="s">
        <v>38</v>
      </c>
    </row>
    <row r="468" spans="2:13">
      <c r="B468" t="s">
        <v>223</v>
      </c>
      <c r="C468">
        <v>1</v>
      </c>
      <c r="E468">
        <v>2</v>
      </c>
      <c r="H468" t="s">
        <v>352</v>
      </c>
      <c r="I468" t="s">
        <v>353</v>
      </c>
      <c r="J468" t="s">
        <v>349</v>
      </c>
      <c r="K468" t="s">
        <v>339</v>
      </c>
      <c r="L468" t="s">
        <v>38</v>
      </c>
      <c r="M468" t="s">
        <v>351</v>
      </c>
    </row>
    <row r="469" spans="2:13">
      <c r="B469" t="s">
        <v>225</v>
      </c>
      <c r="C469">
        <v>2</v>
      </c>
      <c r="E469">
        <v>3</v>
      </c>
      <c r="H469" t="s">
        <v>354</v>
      </c>
      <c r="I469" t="s">
        <v>38</v>
      </c>
      <c r="J469" t="s">
        <v>349</v>
      </c>
      <c r="K469" t="s">
        <v>339</v>
      </c>
      <c r="L469" t="s">
        <v>38</v>
      </c>
    </row>
    <row r="470" spans="2:13">
      <c r="B470" t="s">
        <v>223</v>
      </c>
      <c r="C470">
        <v>1</v>
      </c>
      <c r="E470">
        <v>3</v>
      </c>
      <c r="H470" t="s">
        <v>354</v>
      </c>
      <c r="I470" t="s">
        <v>355</v>
      </c>
      <c r="J470" t="s">
        <v>349</v>
      </c>
      <c r="K470" t="s">
        <v>339</v>
      </c>
      <c r="L470" t="s">
        <v>38</v>
      </c>
      <c r="M470" t="s">
        <v>351</v>
      </c>
    </row>
    <row r="471" spans="2:13">
      <c r="B471" t="s">
        <v>153</v>
      </c>
      <c r="C471">
        <v>1</v>
      </c>
      <c r="E471">
        <v>3</v>
      </c>
      <c r="H471" t="s">
        <v>356</v>
      </c>
      <c r="I471" t="s">
        <v>38</v>
      </c>
      <c r="J471" t="s">
        <v>349</v>
      </c>
      <c r="K471" t="s">
        <v>339</v>
      </c>
      <c r="L471" t="s">
        <v>38</v>
      </c>
    </row>
    <row r="472" spans="2:13">
      <c r="B472" t="s">
        <v>225</v>
      </c>
      <c r="C472">
        <v>2</v>
      </c>
      <c r="E472">
        <v>3</v>
      </c>
      <c r="H472" t="s">
        <v>356</v>
      </c>
      <c r="I472" t="s">
        <v>38</v>
      </c>
      <c r="J472" t="s">
        <v>349</v>
      </c>
      <c r="K472" t="s">
        <v>339</v>
      </c>
      <c r="L472" t="s">
        <v>38</v>
      </c>
    </row>
    <row r="473" spans="2:13">
      <c r="B473" t="s">
        <v>223</v>
      </c>
      <c r="C473">
        <v>1</v>
      </c>
      <c r="E473">
        <v>4</v>
      </c>
      <c r="H473" t="s">
        <v>356</v>
      </c>
      <c r="I473" t="s">
        <v>357</v>
      </c>
      <c r="J473" t="s">
        <v>349</v>
      </c>
      <c r="K473" t="s">
        <v>339</v>
      </c>
      <c r="L473" t="s">
        <v>358</v>
      </c>
      <c r="M473" t="s">
        <v>351</v>
      </c>
    </row>
    <row r="474" spans="2:13">
      <c r="B474" t="s">
        <v>225</v>
      </c>
      <c r="C474">
        <v>2</v>
      </c>
      <c r="E474">
        <v>4</v>
      </c>
      <c r="H474" t="s">
        <v>356</v>
      </c>
      <c r="I474" t="s">
        <v>38</v>
      </c>
      <c r="J474" t="s">
        <v>349</v>
      </c>
      <c r="K474" t="s">
        <v>339</v>
      </c>
      <c r="L474" t="s">
        <v>38</v>
      </c>
    </row>
    <row r="475" spans="2:13">
      <c r="B475" t="s">
        <v>223</v>
      </c>
      <c r="C475">
        <v>1</v>
      </c>
      <c r="E475">
        <v>4</v>
      </c>
      <c r="H475" t="s">
        <v>356</v>
      </c>
      <c r="I475" t="s">
        <v>357</v>
      </c>
      <c r="J475" t="s">
        <v>349</v>
      </c>
      <c r="K475" t="s">
        <v>339</v>
      </c>
      <c r="L475" t="s">
        <v>38</v>
      </c>
      <c r="M475" t="s">
        <v>351</v>
      </c>
    </row>
    <row r="476" spans="2:13">
      <c r="B476" t="s">
        <v>225</v>
      </c>
      <c r="C476">
        <v>2</v>
      </c>
      <c r="E476">
        <v>4</v>
      </c>
      <c r="H476" t="s">
        <v>356</v>
      </c>
      <c r="I476" t="s">
        <v>38</v>
      </c>
      <c r="J476" t="s">
        <v>349</v>
      </c>
      <c r="K476" t="s">
        <v>339</v>
      </c>
      <c r="L476" t="s">
        <v>38</v>
      </c>
    </row>
    <row r="477" spans="2:13">
      <c r="B477" t="s">
        <v>223</v>
      </c>
      <c r="C477">
        <v>1</v>
      </c>
      <c r="E477">
        <v>4</v>
      </c>
      <c r="H477" t="s">
        <v>356</v>
      </c>
      <c r="I477" t="s">
        <v>357</v>
      </c>
      <c r="J477" t="s">
        <v>349</v>
      </c>
      <c r="K477" t="s">
        <v>339</v>
      </c>
      <c r="L477" t="s">
        <v>38</v>
      </c>
      <c r="M477" t="s">
        <v>351</v>
      </c>
    </row>
    <row r="478" spans="2:13">
      <c r="B478" t="s">
        <v>225</v>
      </c>
      <c r="C478">
        <v>2</v>
      </c>
      <c r="E478">
        <v>5</v>
      </c>
      <c r="H478" t="s">
        <v>356</v>
      </c>
      <c r="I478" t="s">
        <v>38</v>
      </c>
      <c r="J478" t="s">
        <v>349</v>
      </c>
      <c r="K478" t="s">
        <v>339</v>
      </c>
      <c r="L478" t="s">
        <v>38</v>
      </c>
    </row>
    <row r="479" spans="2:13">
      <c r="B479" t="s">
        <v>131</v>
      </c>
      <c r="C479">
        <v>1</v>
      </c>
      <c r="E479">
        <v>5</v>
      </c>
      <c r="H479" t="s">
        <v>356</v>
      </c>
      <c r="I479" t="s">
        <v>38</v>
      </c>
      <c r="J479" t="s">
        <v>349</v>
      </c>
      <c r="K479" t="s">
        <v>339</v>
      </c>
      <c r="L479" t="s">
        <v>38</v>
      </c>
    </row>
    <row r="480" spans="2:13">
      <c r="B480" t="s">
        <v>153</v>
      </c>
      <c r="C480">
        <v>1</v>
      </c>
      <c r="E480">
        <v>5</v>
      </c>
      <c r="H480" t="s">
        <v>356</v>
      </c>
      <c r="I480" t="s">
        <v>38</v>
      </c>
      <c r="J480" t="s">
        <v>349</v>
      </c>
      <c r="K480" t="s">
        <v>339</v>
      </c>
      <c r="L480" t="s">
        <v>38</v>
      </c>
    </row>
    <row r="481" spans="2:13">
      <c r="B481" t="s">
        <v>223</v>
      </c>
      <c r="C481">
        <v>1</v>
      </c>
      <c r="E481">
        <v>5</v>
      </c>
      <c r="H481" t="s">
        <v>356</v>
      </c>
      <c r="I481" t="s">
        <v>357</v>
      </c>
      <c r="J481" t="s">
        <v>349</v>
      </c>
      <c r="K481" t="s">
        <v>339</v>
      </c>
      <c r="L481" t="s">
        <v>358</v>
      </c>
      <c r="M481" t="s">
        <v>351</v>
      </c>
    </row>
    <row r="482" spans="2:13">
      <c r="B482" t="s">
        <v>225</v>
      </c>
      <c r="C482">
        <v>2</v>
      </c>
      <c r="E482">
        <v>5</v>
      </c>
      <c r="H482" t="s">
        <v>356</v>
      </c>
      <c r="I482" t="s">
        <v>38</v>
      </c>
      <c r="J482" t="s">
        <v>349</v>
      </c>
      <c r="K482" t="s">
        <v>339</v>
      </c>
      <c r="L482" t="s">
        <v>38</v>
      </c>
    </row>
    <row r="483" spans="2:13">
      <c r="B483" t="s">
        <v>223</v>
      </c>
      <c r="C483">
        <v>2</v>
      </c>
      <c r="E483">
        <v>5</v>
      </c>
      <c r="H483" t="s">
        <v>356</v>
      </c>
      <c r="I483" t="s">
        <v>357</v>
      </c>
      <c r="J483" t="s">
        <v>349</v>
      </c>
      <c r="K483" t="s">
        <v>339</v>
      </c>
      <c r="L483" t="s">
        <v>38</v>
      </c>
      <c r="M483" t="s">
        <v>351</v>
      </c>
    </row>
    <row r="484" spans="2:13">
      <c r="B484" t="s">
        <v>225</v>
      </c>
      <c r="C484">
        <v>4</v>
      </c>
      <c r="E484">
        <v>5</v>
      </c>
      <c r="H484" t="s">
        <v>356</v>
      </c>
      <c r="I484" t="s">
        <v>38</v>
      </c>
      <c r="J484" t="s">
        <v>349</v>
      </c>
      <c r="K484" t="s">
        <v>339</v>
      </c>
      <c r="L484" t="s">
        <v>38</v>
      </c>
    </row>
    <row r="485" spans="2:13">
      <c r="B485" t="s">
        <v>153</v>
      </c>
      <c r="C485">
        <v>1</v>
      </c>
      <c r="E485">
        <v>5</v>
      </c>
      <c r="H485" t="s">
        <v>356</v>
      </c>
      <c r="I485" t="s">
        <v>38</v>
      </c>
      <c r="J485" t="s">
        <v>349</v>
      </c>
      <c r="K485" t="s">
        <v>339</v>
      </c>
      <c r="L485" t="s">
        <v>38</v>
      </c>
    </row>
    <row r="486" spans="2:13">
      <c r="B486" t="s">
        <v>223</v>
      </c>
      <c r="C486">
        <v>1</v>
      </c>
      <c r="E486">
        <v>5</v>
      </c>
      <c r="H486" t="s">
        <v>356</v>
      </c>
      <c r="I486" t="s">
        <v>357</v>
      </c>
      <c r="J486" t="s">
        <v>349</v>
      </c>
      <c r="K486" t="s">
        <v>339</v>
      </c>
      <c r="L486" t="s">
        <v>358</v>
      </c>
      <c r="M486" t="s">
        <v>351</v>
      </c>
    </row>
    <row r="487" spans="2:13">
      <c r="B487" t="s">
        <v>225</v>
      </c>
      <c r="C487">
        <v>2</v>
      </c>
      <c r="E487">
        <v>5</v>
      </c>
      <c r="H487" t="s">
        <v>356</v>
      </c>
      <c r="I487" t="s">
        <v>38</v>
      </c>
      <c r="J487" t="s">
        <v>349</v>
      </c>
      <c r="K487" t="s">
        <v>339</v>
      </c>
      <c r="L487" t="s">
        <v>38</v>
      </c>
    </row>
    <row r="488" spans="2:13">
      <c r="B488" t="s">
        <v>223</v>
      </c>
      <c r="C488">
        <v>1</v>
      </c>
      <c r="E488">
        <v>5</v>
      </c>
      <c r="H488" t="s">
        <v>356</v>
      </c>
      <c r="I488" t="s">
        <v>357</v>
      </c>
      <c r="J488" t="s">
        <v>349</v>
      </c>
      <c r="K488" t="s">
        <v>339</v>
      </c>
      <c r="L488" t="s">
        <v>38</v>
      </c>
      <c r="M488" t="s">
        <v>351</v>
      </c>
    </row>
    <row r="489" spans="2:13">
      <c r="B489" t="s">
        <v>225</v>
      </c>
      <c r="C489">
        <v>2</v>
      </c>
      <c r="E489">
        <v>5</v>
      </c>
      <c r="H489" t="s">
        <v>356</v>
      </c>
      <c r="I489" t="s">
        <v>38</v>
      </c>
      <c r="J489" t="s">
        <v>349</v>
      </c>
      <c r="K489" t="s">
        <v>339</v>
      </c>
      <c r="L489" t="s">
        <v>38</v>
      </c>
    </row>
    <row r="490" spans="2:13">
      <c r="B490" t="s">
        <v>223</v>
      </c>
      <c r="C490">
        <v>1</v>
      </c>
      <c r="E490">
        <v>5</v>
      </c>
      <c r="H490" t="s">
        <v>356</v>
      </c>
      <c r="I490" t="s">
        <v>357</v>
      </c>
      <c r="J490" t="s">
        <v>349</v>
      </c>
      <c r="K490" t="s">
        <v>339</v>
      </c>
      <c r="L490" t="s">
        <v>38</v>
      </c>
      <c r="M490" t="s">
        <v>351</v>
      </c>
    </row>
    <row r="491" spans="2:13">
      <c r="B491" t="s">
        <v>225</v>
      </c>
      <c r="C491">
        <v>2</v>
      </c>
      <c r="E491">
        <v>5</v>
      </c>
      <c r="H491" t="s">
        <v>356</v>
      </c>
      <c r="I491" t="s">
        <v>38</v>
      </c>
      <c r="J491" t="s">
        <v>349</v>
      </c>
      <c r="K491" t="s">
        <v>339</v>
      </c>
      <c r="L491" t="s">
        <v>38</v>
      </c>
    </row>
    <row r="492" spans="2:13">
      <c r="B492" t="s">
        <v>223</v>
      </c>
      <c r="C492">
        <v>1</v>
      </c>
      <c r="E492">
        <v>5</v>
      </c>
      <c r="H492" t="s">
        <v>356</v>
      </c>
      <c r="I492" t="s">
        <v>357</v>
      </c>
      <c r="J492" t="s">
        <v>349</v>
      </c>
      <c r="K492" t="s">
        <v>38</v>
      </c>
      <c r="L492" t="s">
        <v>358</v>
      </c>
      <c r="M492" t="s">
        <v>351</v>
      </c>
    </row>
    <row r="493" spans="2:13">
      <c r="B493" t="s">
        <v>225</v>
      </c>
      <c r="C493">
        <v>1</v>
      </c>
      <c r="E493">
        <v>5</v>
      </c>
      <c r="H493" t="s">
        <v>356</v>
      </c>
      <c r="I493" t="s">
        <v>38</v>
      </c>
      <c r="J493" t="s">
        <v>349</v>
      </c>
      <c r="K493" t="s">
        <v>38</v>
      </c>
      <c r="L493" t="s">
        <v>38</v>
      </c>
    </row>
    <row r="494" spans="2:13">
      <c r="B494" t="s">
        <v>137</v>
      </c>
      <c r="C494">
        <v>1</v>
      </c>
      <c r="E494">
        <v>5</v>
      </c>
      <c r="H494" t="s">
        <v>356</v>
      </c>
      <c r="I494" t="s">
        <v>38</v>
      </c>
      <c r="J494" t="s">
        <v>349</v>
      </c>
      <c r="K494" t="s">
        <v>38</v>
      </c>
      <c r="L494" t="s">
        <v>38</v>
      </c>
    </row>
    <row r="495" spans="2:13">
      <c r="B495" t="s">
        <v>131</v>
      </c>
      <c r="C495">
        <v>1</v>
      </c>
      <c r="E495">
        <v>5</v>
      </c>
      <c r="H495" t="s">
        <v>356</v>
      </c>
      <c r="I495" t="s">
        <v>38</v>
      </c>
      <c r="J495" t="s">
        <v>349</v>
      </c>
      <c r="K495" t="s">
        <v>38</v>
      </c>
      <c r="L495" t="s">
        <v>38</v>
      </c>
    </row>
    <row r="496" spans="2:13">
      <c r="B496" t="s">
        <v>217</v>
      </c>
      <c r="C496">
        <v>1</v>
      </c>
      <c r="E496">
        <v>5</v>
      </c>
      <c r="H496" t="s">
        <v>356</v>
      </c>
      <c r="I496" t="s">
        <v>357</v>
      </c>
      <c r="J496" t="s">
        <v>349</v>
      </c>
      <c r="K496" t="s">
        <v>38</v>
      </c>
      <c r="L496" t="s">
        <v>38</v>
      </c>
      <c r="M496" t="s">
        <v>359</v>
      </c>
    </row>
    <row r="497" spans="2:13">
      <c r="B497" t="s">
        <v>218</v>
      </c>
      <c r="C497">
        <v>1</v>
      </c>
      <c r="E497">
        <v>5</v>
      </c>
      <c r="H497" t="s">
        <v>356</v>
      </c>
      <c r="I497" t="s">
        <v>38</v>
      </c>
      <c r="J497" t="s">
        <v>349</v>
      </c>
      <c r="K497" t="s">
        <v>38</v>
      </c>
      <c r="L497" t="s">
        <v>38</v>
      </c>
      <c r="M497" t="s">
        <v>345</v>
      </c>
    </row>
    <row r="498" spans="2:13">
      <c r="B498" t="s">
        <v>219</v>
      </c>
      <c r="C498">
        <v>1</v>
      </c>
      <c r="E498">
        <v>5</v>
      </c>
      <c r="H498" t="s">
        <v>356</v>
      </c>
      <c r="I498" t="s">
        <v>38</v>
      </c>
      <c r="J498" t="s">
        <v>349</v>
      </c>
      <c r="K498" t="s">
        <v>38</v>
      </c>
      <c r="L498" t="s">
        <v>38</v>
      </c>
      <c r="M498" t="s">
        <v>347</v>
      </c>
    </row>
    <row r="499" spans="2:13">
      <c r="B499" t="s">
        <v>220</v>
      </c>
      <c r="C499">
        <v>1</v>
      </c>
      <c r="E499">
        <v>5</v>
      </c>
      <c r="H499" t="s">
        <v>38</v>
      </c>
      <c r="I499" t="s">
        <v>38</v>
      </c>
      <c r="J499" t="s">
        <v>349</v>
      </c>
      <c r="K499" t="s">
        <v>38</v>
      </c>
      <c r="L499" t="s">
        <v>38</v>
      </c>
      <c r="M499" t="s">
        <v>350</v>
      </c>
    </row>
    <row r="500" spans="2:13">
      <c r="B500" t="s">
        <v>221</v>
      </c>
      <c r="C500">
        <v>1</v>
      </c>
      <c r="E500">
        <v>5</v>
      </c>
      <c r="H500" t="s">
        <v>38</v>
      </c>
      <c r="I500" t="s">
        <v>38</v>
      </c>
      <c r="J500" t="s">
        <v>349</v>
      </c>
      <c r="K500" t="s">
        <v>38</v>
      </c>
      <c r="L500" t="s">
        <v>38</v>
      </c>
      <c r="M500" t="s">
        <v>350</v>
      </c>
    </row>
    <row r="501" spans="2:13">
      <c r="B501" t="s">
        <v>222</v>
      </c>
      <c r="C501">
        <v>1</v>
      </c>
      <c r="E501">
        <v>5</v>
      </c>
      <c r="H501" t="s">
        <v>38</v>
      </c>
      <c r="I501" t="s">
        <v>38</v>
      </c>
      <c r="J501" t="s">
        <v>38</v>
      </c>
      <c r="K501" t="s">
        <v>38</v>
      </c>
      <c r="L501" t="s">
        <v>38</v>
      </c>
    </row>
    <row r="502" spans="2:13">
      <c r="B502" t="s">
        <v>152</v>
      </c>
      <c r="C502">
        <v>1</v>
      </c>
      <c r="E502">
        <v>5</v>
      </c>
      <c r="H502" t="s">
        <v>38</v>
      </c>
      <c r="I502" t="s">
        <v>339</v>
      </c>
      <c r="J502" t="s">
        <v>349</v>
      </c>
      <c r="K502" t="s">
        <v>38</v>
      </c>
      <c r="L502" t="s">
        <v>38</v>
      </c>
    </row>
    <row r="503" spans="2:13">
      <c r="B503" t="s">
        <v>223</v>
      </c>
      <c r="C503">
        <v>1</v>
      </c>
      <c r="E503">
        <v>5</v>
      </c>
      <c r="G503">
        <v>1</v>
      </c>
      <c r="H503" t="s">
        <v>38</v>
      </c>
      <c r="I503" t="s">
        <v>357</v>
      </c>
      <c r="J503" t="s">
        <v>349</v>
      </c>
      <c r="K503" t="s">
        <v>339</v>
      </c>
      <c r="L503" t="s">
        <v>38</v>
      </c>
      <c r="M503" t="s">
        <v>351</v>
      </c>
    </row>
    <row r="504" spans="2:13">
      <c r="B504" t="s">
        <v>225</v>
      </c>
      <c r="C504">
        <v>2</v>
      </c>
      <c r="E504">
        <v>5</v>
      </c>
      <c r="G504">
        <v>1</v>
      </c>
      <c r="H504" t="s">
        <v>38</v>
      </c>
      <c r="I504" t="s">
        <v>38</v>
      </c>
      <c r="J504" t="s">
        <v>349</v>
      </c>
      <c r="K504" t="s">
        <v>339</v>
      </c>
      <c r="L504" t="s">
        <v>38</v>
      </c>
    </row>
    <row r="505" spans="2:13">
      <c r="B505" t="s">
        <v>223</v>
      </c>
      <c r="C505">
        <v>1</v>
      </c>
      <c r="E505">
        <v>5</v>
      </c>
      <c r="G505">
        <v>1</v>
      </c>
      <c r="H505" t="s">
        <v>352</v>
      </c>
      <c r="I505" t="s">
        <v>357</v>
      </c>
      <c r="J505" t="s">
        <v>349</v>
      </c>
      <c r="K505" t="s">
        <v>339</v>
      </c>
      <c r="L505" t="s">
        <v>38</v>
      </c>
      <c r="M505" t="s">
        <v>351</v>
      </c>
    </row>
    <row r="506" spans="2:13">
      <c r="B506" t="s">
        <v>225</v>
      </c>
      <c r="C506">
        <v>2</v>
      </c>
      <c r="E506">
        <v>5</v>
      </c>
      <c r="G506">
        <v>1</v>
      </c>
      <c r="H506" t="s">
        <v>352</v>
      </c>
      <c r="I506" t="s">
        <v>38</v>
      </c>
      <c r="J506" t="s">
        <v>349</v>
      </c>
      <c r="K506" t="s">
        <v>339</v>
      </c>
      <c r="L506" t="s">
        <v>38</v>
      </c>
    </row>
    <row r="507" spans="2:13">
      <c r="B507" t="s">
        <v>153</v>
      </c>
      <c r="C507">
        <v>1</v>
      </c>
      <c r="E507">
        <v>5</v>
      </c>
      <c r="G507">
        <v>1</v>
      </c>
      <c r="H507" t="s">
        <v>354</v>
      </c>
      <c r="I507" t="s">
        <v>38</v>
      </c>
      <c r="J507" t="s">
        <v>349</v>
      </c>
      <c r="K507" t="s">
        <v>339</v>
      </c>
      <c r="L507" t="s">
        <v>38</v>
      </c>
    </row>
    <row r="508" spans="2:13">
      <c r="B508" t="s">
        <v>223</v>
      </c>
      <c r="C508">
        <v>1</v>
      </c>
      <c r="E508">
        <v>5</v>
      </c>
      <c r="G508">
        <v>1</v>
      </c>
      <c r="H508" t="s">
        <v>354</v>
      </c>
      <c r="I508" t="s">
        <v>357</v>
      </c>
      <c r="J508" t="s">
        <v>349</v>
      </c>
      <c r="K508" t="s">
        <v>339</v>
      </c>
      <c r="L508" t="s">
        <v>38</v>
      </c>
      <c r="M508" t="s">
        <v>351</v>
      </c>
    </row>
    <row r="509" spans="2:13">
      <c r="B509" t="s">
        <v>225</v>
      </c>
      <c r="C509">
        <v>2</v>
      </c>
      <c r="E509">
        <v>5</v>
      </c>
      <c r="G509">
        <v>1</v>
      </c>
      <c r="H509" t="s">
        <v>356</v>
      </c>
      <c r="I509" t="s">
        <v>38</v>
      </c>
      <c r="J509" t="s">
        <v>349</v>
      </c>
      <c r="K509" t="s">
        <v>339</v>
      </c>
      <c r="L509" t="s">
        <v>38</v>
      </c>
    </row>
    <row r="510" spans="2:13">
      <c r="B510" t="s">
        <v>223</v>
      </c>
      <c r="C510">
        <v>1</v>
      </c>
      <c r="E510">
        <v>5</v>
      </c>
      <c r="G510">
        <v>1</v>
      </c>
      <c r="H510" t="s">
        <v>356</v>
      </c>
      <c r="I510" t="s">
        <v>357</v>
      </c>
      <c r="J510" t="s">
        <v>349</v>
      </c>
      <c r="K510" t="s">
        <v>339</v>
      </c>
      <c r="L510" t="s">
        <v>358</v>
      </c>
      <c r="M510" t="s">
        <v>351</v>
      </c>
    </row>
    <row r="511" spans="2:13">
      <c r="B511" t="s">
        <v>225</v>
      </c>
      <c r="C511">
        <v>2</v>
      </c>
      <c r="E511">
        <v>5</v>
      </c>
      <c r="G511">
        <v>1</v>
      </c>
      <c r="H511" t="s">
        <v>356</v>
      </c>
      <c r="I511" t="s">
        <v>38</v>
      </c>
      <c r="J511" t="s">
        <v>349</v>
      </c>
      <c r="K511" t="s">
        <v>339</v>
      </c>
      <c r="L511" t="s">
        <v>38</v>
      </c>
    </row>
    <row r="512" spans="2:13">
      <c r="B512" t="s">
        <v>153</v>
      </c>
      <c r="C512">
        <v>1</v>
      </c>
      <c r="E512">
        <v>5</v>
      </c>
      <c r="G512">
        <v>1</v>
      </c>
      <c r="H512" t="s">
        <v>356</v>
      </c>
      <c r="I512" t="s">
        <v>38</v>
      </c>
      <c r="J512" t="s">
        <v>349</v>
      </c>
      <c r="K512" t="s">
        <v>339</v>
      </c>
      <c r="L512" t="s">
        <v>38</v>
      </c>
    </row>
    <row r="513" spans="2:13">
      <c r="B513" t="s">
        <v>223</v>
      </c>
      <c r="C513">
        <v>2</v>
      </c>
      <c r="E513">
        <v>5</v>
      </c>
      <c r="G513">
        <v>1</v>
      </c>
      <c r="H513" t="s">
        <v>356</v>
      </c>
      <c r="I513" t="s">
        <v>357</v>
      </c>
      <c r="J513" t="s">
        <v>349</v>
      </c>
      <c r="K513" t="s">
        <v>339</v>
      </c>
      <c r="L513" t="s">
        <v>38</v>
      </c>
      <c r="M513" t="s">
        <v>351</v>
      </c>
    </row>
    <row r="514" spans="2:13">
      <c r="B514" t="s">
        <v>225</v>
      </c>
      <c r="C514">
        <v>4</v>
      </c>
      <c r="D514">
        <v>1</v>
      </c>
      <c r="E514">
        <v>5</v>
      </c>
      <c r="F514">
        <v>5</v>
      </c>
      <c r="G514">
        <v>1</v>
      </c>
      <c r="H514" t="s">
        <v>356</v>
      </c>
      <c r="I514" t="s">
        <v>38</v>
      </c>
      <c r="J514" t="s">
        <v>349</v>
      </c>
      <c r="K514" t="s">
        <v>339</v>
      </c>
      <c r="L514" t="s">
        <v>38</v>
      </c>
    </row>
    <row r="515" spans="2:13">
      <c r="B515" t="s">
        <v>223</v>
      </c>
      <c r="C515">
        <v>1</v>
      </c>
      <c r="D515">
        <v>1</v>
      </c>
      <c r="E515">
        <v>5</v>
      </c>
      <c r="F515">
        <v>5</v>
      </c>
      <c r="G515">
        <v>1</v>
      </c>
      <c r="H515" t="s">
        <v>356</v>
      </c>
      <c r="I515" t="s">
        <v>357</v>
      </c>
      <c r="J515" t="s">
        <v>349</v>
      </c>
      <c r="K515" t="s">
        <v>339</v>
      </c>
      <c r="L515" t="s">
        <v>358</v>
      </c>
      <c r="M515" t="s">
        <v>351</v>
      </c>
    </row>
    <row r="516" spans="2:13">
      <c r="B516" t="s">
        <v>225</v>
      </c>
      <c r="C516">
        <v>2</v>
      </c>
      <c r="D516">
        <v>1</v>
      </c>
      <c r="E516">
        <v>5</v>
      </c>
      <c r="F516">
        <v>5</v>
      </c>
      <c r="G516">
        <v>1</v>
      </c>
      <c r="H516" t="s">
        <v>356</v>
      </c>
      <c r="I516" t="s">
        <v>38</v>
      </c>
      <c r="J516" t="s">
        <v>349</v>
      </c>
      <c r="K516" t="s">
        <v>339</v>
      </c>
      <c r="L516" t="s">
        <v>38</v>
      </c>
    </row>
    <row r="517" spans="2:13">
      <c r="B517" t="s">
        <v>153</v>
      </c>
      <c r="C517">
        <v>1</v>
      </c>
      <c r="D517">
        <v>1</v>
      </c>
      <c r="E517">
        <v>5</v>
      </c>
      <c r="F517">
        <v>5</v>
      </c>
      <c r="G517">
        <v>1</v>
      </c>
      <c r="H517" t="s">
        <v>356</v>
      </c>
      <c r="I517" t="s">
        <v>38</v>
      </c>
      <c r="J517" t="s">
        <v>349</v>
      </c>
      <c r="K517" t="s">
        <v>339</v>
      </c>
      <c r="L517" t="s">
        <v>38</v>
      </c>
    </row>
    <row r="518" spans="2:13">
      <c r="B518" t="s">
        <v>131</v>
      </c>
      <c r="C518">
        <v>1</v>
      </c>
      <c r="D518">
        <v>1</v>
      </c>
      <c r="E518">
        <v>5</v>
      </c>
      <c r="F518">
        <v>5</v>
      </c>
      <c r="G518">
        <v>1</v>
      </c>
      <c r="H518" t="s">
        <v>356</v>
      </c>
      <c r="I518" t="s">
        <v>38</v>
      </c>
      <c r="J518" t="s">
        <v>349</v>
      </c>
      <c r="K518" t="s">
        <v>339</v>
      </c>
      <c r="L518" t="s">
        <v>38</v>
      </c>
    </row>
    <row r="519" spans="2:13">
      <c r="B519" t="s">
        <v>223</v>
      </c>
      <c r="C519">
        <v>2</v>
      </c>
      <c r="D519">
        <v>1</v>
      </c>
      <c r="E519">
        <v>5</v>
      </c>
      <c r="F519">
        <v>5</v>
      </c>
      <c r="G519">
        <v>1</v>
      </c>
      <c r="H519" t="s">
        <v>356</v>
      </c>
      <c r="I519" t="s">
        <v>357</v>
      </c>
      <c r="J519" t="s">
        <v>349</v>
      </c>
      <c r="K519" t="s">
        <v>339</v>
      </c>
      <c r="L519" t="s">
        <v>38</v>
      </c>
      <c r="M519" t="s">
        <v>351</v>
      </c>
    </row>
    <row r="520" spans="2:13">
      <c r="B520" t="s">
        <v>225</v>
      </c>
      <c r="C520">
        <v>4</v>
      </c>
      <c r="D520">
        <v>1</v>
      </c>
      <c r="E520">
        <v>5</v>
      </c>
      <c r="F520">
        <v>5</v>
      </c>
      <c r="G520">
        <v>1</v>
      </c>
      <c r="H520" t="s">
        <v>356</v>
      </c>
      <c r="I520" t="s">
        <v>38</v>
      </c>
      <c r="J520" t="s">
        <v>349</v>
      </c>
      <c r="K520" t="s">
        <v>339</v>
      </c>
      <c r="L520" t="s">
        <v>38</v>
      </c>
    </row>
    <row r="521" spans="2:13">
      <c r="B521" t="s">
        <v>153</v>
      </c>
      <c r="C521">
        <v>1</v>
      </c>
      <c r="D521">
        <v>1</v>
      </c>
      <c r="E521">
        <v>5</v>
      </c>
      <c r="F521">
        <v>5</v>
      </c>
      <c r="G521">
        <v>1</v>
      </c>
      <c r="H521" t="s">
        <v>356</v>
      </c>
      <c r="I521" t="s">
        <v>38</v>
      </c>
      <c r="J521" t="s">
        <v>349</v>
      </c>
      <c r="K521" t="s">
        <v>339</v>
      </c>
      <c r="L521" t="s">
        <v>38</v>
      </c>
    </row>
    <row r="522" spans="2:13">
      <c r="B522" t="s">
        <v>223</v>
      </c>
      <c r="C522">
        <v>1</v>
      </c>
      <c r="D522">
        <v>1</v>
      </c>
      <c r="E522">
        <v>5</v>
      </c>
      <c r="F522">
        <v>5</v>
      </c>
      <c r="G522">
        <v>1</v>
      </c>
      <c r="H522" t="s">
        <v>356</v>
      </c>
      <c r="I522" t="s">
        <v>357</v>
      </c>
      <c r="J522" t="s">
        <v>349</v>
      </c>
      <c r="K522" t="s">
        <v>339</v>
      </c>
      <c r="L522" t="s">
        <v>358</v>
      </c>
      <c r="M522" t="s">
        <v>351</v>
      </c>
    </row>
    <row r="523" spans="2:13">
      <c r="B523" t="s">
        <v>225</v>
      </c>
      <c r="C523">
        <v>2</v>
      </c>
      <c r="D523">
        <v>1</v>
      </c>
      <c r="E523">
        <v>5</v>
      </c>
      <c r="F523">
        <v>5</v>
      </c>
      <c r="G523">
        <v>1</v>
      </c>
      <c r="H523" t="s">
        <v>356</v>
      </c>
      <c r="I523" t="s">
        <v>38</v>
      </c>
      <c r="J523" t="s">
        <v>349</v>
      </c>
      <c r="K523" t="s">
        <v>339</v>
      </c>
      <c r="L523" t="s">
        <v>38</v>
      </c>
    </row>
    <row r="524" spans="2:13">
      <c r="B524" t="s">
        <v>223</v>
      </c>
      <c r="C524">
        <v>2</v>
      </c>
      <c r="D524">
        <v>1</v>
      </c>
      <c r="E524">
        <v>5</v>
      </c>
      <c r="F524">
        <v>5</v>
      </c>
      <c r="G524">
        <v>1</v>
      </c>
      <c r="H524" t="s">
        <v>356</v>
      </c>
      <c r="I524" t="s">
        <v>357</v>
      </c>
      <c r="J524" t="s">
        <v>349</v>
      </c>
      <c r="K524" t="s">
        <v>339</v>
      </c>
      <c r="L524" t="s">
        <v>38</v>
      </c>
      <c r="M524" t="s">
        <v>351</v>
      </c>
    </row>
    <row r="525" spans="2:13">
      <c r="B525" t="s">
        <v>225</v>
      </c>
      <c r="C525">
        <v>4</v>
      </c>
      <c r="D525">
        <v>1</v>
      </c>
      <c r="E525">
        <v>5</v>
      </c>
      <c r="F525">
        <v>5</v>
      </c>
      <c r="G525">
        <v>1</v>
      </c>
      <c r="H525" t="s">
        <v>356</v>
      </c>
      <c r="I525" t="s">
        <v>38</v>
      </c>
      <c r="J525" t="s">
        <v>349</v>
      </c>
      <c r="K525" t="s">
        <v>339</v>
      </c>
      <c r="L525" t="s">
        <v>38</v>
      </c>
    </row>
    <row r="526" spans="2:13">
      <c r="B526" t="s">
        <v>153</v>
      </c>
      <c r="C526">
        <v>1</v>
      </c>
      <c r="D526">
        <v>1</v>
      </c>
      <c r="E526">
        <v>5</v>
      </c>
      <c r="F526">
        <v>5</v>
      </c>
      <c r="G526">
        <v>1</v>
      </c>
      <c r="H526" t="s">
        <v>356</v>
      </c>
      <c r="I526" t="s">
        <v>38</v>
      </c>
      <c r="J526" t="s">
        <v>349</v>
      </c>
      <c r="K526" t="s">
        <v>339</v>
      </c>
      <c r="L526" t="s">
        <v>38</v>
      </c>
    </row>
    <row r="527" spans="2:13">
      <c r="B527" t="s">
        <v>223</v>
      </c>
      <c r="C527">
        <v>1</v>
      </c>
      <c r="D527">
        <v>1</v>
      </c>
      <c r="E527">
        <v>5</v>
      </c>
      <c r="F527">
        <v>5</v>
      </c>
      <c r="G527">
        <v>1</v>
      </c>
      <c r="H527" t="s">
        <v>356</v>
      </c>
      <c r="I527" t="s">
        <v>357</v>
      </c>
      <c r="J527" t="s">
        <v>349</v>
      </c>
      <c r="K527" t="s">
        <v>38</v>
      </c>
      <c r="L527" t="s">
        <v>358</v>
      </c>
      <c r="M527" t="s">
        <v>351</v>
      </c>
    </row>
    <row r="528" spans="2:13">
      <c r="B528" t="s">
        <v>225</v>
      </c>
      <c r="C528">
        <v>1</v>
      </c>
      <c r="D528">
        <v>1</v>
      </c>
      <c r="E528">
        <v>5</v>
      </c>
      <c r="F528">
        <v>5</v>
      </c>
      <c r="G528">
        <v>1</v>
      </c>
      <c r="H528" t="s">
        <v>356</v>
      </c>
      <c r="I528" t="s">
        <v>38</v>
      </c>
      <c r="J528" t="s">
        <v>349</v>
      </c>
      <c r="K528" t="s">
        <v>38</v>
      </c>
      <c r="L528" t="s">
        <v>38</v>
      </c>
    </row>
    <row r="529" spans="2:13">
      <c r="B529" t="s">
        <v>137</v>
      </c>
      <c r="C529">
        <v>1</v>
      </c>
      <c r="D529">
        <v>1</v>
      </c>
      <c r="E529">
        <v>5</v>
      </c>
      <c r="F529">
        <v>5</v>
      </c>
      <c r="G529">
        <v>1</v>
      </c>
      <c r="H529" t="s">
        <v>356</v>
      </c>
      <c r="I529" t="s">
        <v>38</v>
      </c>
      <c r="J529" t="s">
        <v>349</v>
      </c>
      <c r="K529" t="s">
        <v>38</v>
      </c>
      <c r="L529" t="s">
        <v>38</v>
      </c>
    </row>
    <row r="530" spans="2:13">
      <c r="B530" t="s">
        <v>221</v>
      </c>
      <c r="C530">
        <v>1</v>
      </c>
      <c r="D530">
        <v>1</v>
      </c>
      <c r="E530">
        <v>5</v>
      </c>
      <c r="F530">
        <v>5</v>
      </c>
      <c r="G530">
        <v>1</v>
      </c>
      <c r="H530" t="s">
        <v>356</v>
      </c>
      <c r="I530" t="s">
        <v>38</v>
      </c>
      <c r="J530" t="s">
        <v>349</v>
      </c>
      <c r="K530" t="s">
        <v>38</v>
      </c>
      <c r="L530" t="s">
        <v>38</v>
      </c>
      <c r="M530" t="s">
        <v>350</v>
      </c>
    </row>
    <row r="531" spans="2:13">
      <c r="B531" t="s">
        <v>222</v>
      </c>
      <c r="C531">
        <v>1</v>
      </c>
      <c r="D531">
        <v>1</v>
      </c>
      <c r="E531">
        <v>5</v>
      </c>
      <c r="F531">
        <v>5</v>
      </c>
      <c r="G531">
        <v>1</v>
      </c>
      <c r="H531" t="s">
        <v>38</v>
      </c>
      <c r="I531" t="s">
        <v>38</v>
      </c>
      <c r="J531" t="s">
        <v>38</v>
      </c>
      <c r="K531" t="s">
        <v>38</v>
      </c>
      <c r="L531" t="s">
        <v>38</v>
      </c>
    </row>
    <row r="532" spans="2:13">
      <c r="B532" t="s">
        <v>131</v>
      </c>
      <c r="C532">
        <v>1</v>
      </c>
      <c r="D532">
        <v>1</v>
      </c>
      <c r="E532">
        <v>5</v>
      </c>
      <c r="F532">
        <v>5</v>
      </c>
      <c r="G532">
        <v>1</v>
      </c>
      <c r="H532" t="s">
        <v>356</v>
      </c>
      <c r="I532" t="s">
        <v>38</v>
      </c>
      <c r="J532" t="s">
        <v>349</v>
      </c>
      <c r="K532" t="s">
        <v>38</v>
      </c>
      <c r="L532" t="s">
        <v>38</v>
      </c>
    </row>
    <row r="533" spans="2:13">
      <c r="B533" t="s">
        <v>127</v>
      </c>
      <c r="C533">
        <v>12</v>
      </c>
      <c r="E533">
        <v>5</v>
      </c>
      <c r="H533" t="s">
        <v>38</v>
      </c>
      <c r="I533" t="s">
        <v>38</v>
      </c>
      <c r="J533" t="s">
        <v>349</v>
      </c>
      <c r="K533" t="s">
        <v>38</v>
      </c>
      <c r="L533" t="s">
        <v>38</v>
      </c>
    </row>
    <row r="534" spans="2:13">
      <c r="B534" t="s">
        <v>128</v>
      </c>
      <c r="C534">
        <v>12</v>
      </c>
      <c r="E534">
        <v>5</v>
      </c>
      <c r="H534" t="s">
        <v>38</v>
      </c>
      <c r="I534" t="s">
        <v>38</v>
      </c>
      <c r="J534" t="s">
        <v>349</v>
      </c>
      <c r="K534" t="s">
        <v>38</v>
      </c>
      <c r="L534" t="s">
        <v>38</v>
      </c>
    </row>
    <row r="535" spans="2:13">
      <c r="B535" t="s">
        <v>127</v>
      </c>
      <c r="C535">
        <v>28</v>
      </c>
      <c r="E535">
        <v>5</v>
      </c>
      <c r="H535" t="s">
        <v>356</v>
      </c>
      <c r="I535" t="s">
        <v>38</v>
      </c>
      <c r="J535" t="s">
        <v>349</v>
      </c>
      <c r="K535" t="s">
        <v>38</v>
      </c>
      <c r="L535" t="s">
        <v>38</v>
      </c>
    </row>
    <row r="536" spans="2:13">
      <c r="B536" t="s">
        <v>128</v>
      </c>
      <c r="C536">
        <v>28</v>
      </c>
      <c r="E536">
        <v>5</v>
      </c>
      <c r="H536" t="s">
        <v>356</v>
      </c>
      <c r="I536" t="s">
        <v>38</v>
      </c>
      <c r="J536" t="s">
        <v>349</v>
      </c>
      <c r="K536" t="s">
        <v>38</v>
      </c>
      <c r="L536" t="s">
        <v>38</v>
      </c>
    </row>
    <row r="537" spans="2:13">
      <c r="B537" t="s">
        <v>38</v>
      </c>
      <c r="C537">
        <v>1</v>
      </c>
      <c r="H537" t="s">
        <v>38</v>
      </c>
      <c r="I537" t="s">
        <v>38</v>
      </c>
      <c r="J537" t="s">
        <v>38</v>
      </c>
      <c r="K537" t="s">
        <v>38</v>
      </c>
      <c r="L537" t="s">
        <v>38</v>
      </c>
    </row>
    <row r="538" spans="2:13">
      <c r="B538" t="s">
        <v>38</v>
      </c>
      <c r="C538">
        <v>1</v>
      </c>
      <c r="H538" t="s">
        <v>38</v>
      </c>
      <c r="I538" t="s">
        <v>38</v>
      </c>
      <c r="J538" t="s">
        <v>38</v>
      </c>
      <c r="K538" t="s">
        <v>38</v>
      </c>
      <c r="L538" t="s">
        <v>38</v>
      </c>
    </row>
    <row r="539" spans="2:13">
      <c r="B539" t="s">
        <v>38</v>
      </c>
      <c r="C539">
        <v>1</v>
      </c>
      <c r="H539" t="s">
        <v>38</v>
      </c>
      <c r="I539" t="s">
        <v>38</v>
      </c>
      <c r="J539" t="s">
        <v>38</v>
      </c>
      <c r="K539" t="s">
        <v>38</v>
      </c>
      <c r="L539" t="s">
        <v>38</v>
      </c>
    </row>
    <row r="540" spans="2:13">
      <c r="B540" t="s">
        <v>38</v>
      </c>
      <c r="C540">
        <v>1</v>
      </c>
      <c r="H540" t="s">
        <v>38</v>
      </c>
      <c r="I540" t="s">
        <v>38</v>
      </c>
      <c r="J540" t="s">
        <v>38</v>
      </c>
      <c r="K540" t="s">
        <v>38</v>
      </c>
      <c r="L540" t="s">
        <v>38</v>
      </c>
    </row>
    <row r="541" spans="2:13">
      <c r="B541" t="s">
        <v>38</v>
      </c>
      <c r="C541">
        <v>1</v>
      </c>
      <c r="H541" t="s">
        <v>38</v>
      </c>
      <c r="I541" t="s">
        <v>38</v>
      </c>
      <c r="J541" t="s">
        <v>38</v>
      </c>
      <c r="K541" t="s">
        <v>38</v>
      </c>
      <c r="L541" t="s">
        <v>38</v>
      </c>
    </row>
    <row r="542" spans="2:13">
      <c r="B542" t="s">
        <v>38</v>
      </c>
      <c r="C542">
        <v>1</v>
      </c>
      <c r="H542" t="s">
        <v>38</v>
      </c>
      <c r="I542" t="s">
        <v>38</v>
      </c>
      <c r="J542" t="s">
        <v>38</v>
      </c>
      <c r="K542" t="s">
        <v>38</v>
      </c>
      <c r="L542" t="s">
        <v>38</v>
      </c>
    </row>
    <row r="543" spans="2:13">
      <c r="B543" t="s">
        <v>38</v>
      </c>
      <c r="C543">
        <v>1</v>
      </c>
      <c r="H543" t="s">
        <v>38</v>
      </c>
      <c r="I543" t="s">
        <v>38</v>
      </c>
      <c r="J543" t="s">
        <v>38</v>
      </c>
      <c r="K543" t="s">
        <v>38</v>
      </c>
      <c r="L543" t="s">
        <v>38</v>
      </c>
    </row>
    <row r="544" spans="2:13">
      <c r="B544" t="s">
        <v>38</v>
      </c>
      <c r="C544">
        <v>1</v>
      </c>
      <c r="H544" t="s">
        <v>38</v>
      </c>
      <c r="I544" t="s">
        <v>38</v>
      </c>
      <c r="J544" t="s">
        <v>38</v>
      </c>
      <c r="K544" t="s">
        <v>38</v>
      </c>
      <c r="L544" t="s">
        <v>38</v>
      </c>
    </row>
    <row r="545" spans="2:12">
      <c r="B545" t="s">
        <v>38</v>
      </c>
      <c r="C545">
        <v>1</v>
      </c>
      <c r="H545" t="s">
        <v>38</v>
      </c>
      <c r="I545" t="s">
        <v>38</v>
      </c>
      <c r="J545" t="s">
        <v>38</v>
      </c>
      <c r="K545" t="s">
        <v>38</v>
      </c>
      <c r="L545" t="s">
        <v>38</v>
      </c>
    </row>
    <row r="546" spans="2:12">
      <c r="B546" t="s">
        <v>38</v>
      </c>
      <c r="C546">
        <v>1</v>
      </c>
      <c r="H546" t="s">
        <v>38</v>
      </c>
      <c r="I546" t="s">
        <v>38</v>
      </c>
      <c r="J546" t="s">
        <v>38</v>
      </c>
      <c r="K546" t="s">
        <v>38</v>
      </c>
      <c r="L546" t="s">
        <v>38</v>
      </c>
    </row>
    <row r="547" spans="2:12">
      <c r="B547" t="s">
        <v>38</v>
      </c>
      <c r="C547">
        <v>1</v>
      </c>
      <c r="H547" t="s">
        <v>38</v>
      </c>
      <c r="I547" t="s">
        <v>38</v>
      </c>
      <c r="J547" t="s">
        <v>38</v>
      </c>
      <c r="K547" t="s">
        <v>38</v>
      </c>
      <c r="L547" t="s">
        <v>38</v>
      </c>
    </row>
    <row r="548" spans="2:12">
      <c r="B548" t="s">
        <v>38</v>
      </c>
      <c r="C548">
        <v>1</v>
      </c>
      <c r="H548" t="s">
        <v>38</v>
      </c>
      <c r="I548" t="s">
        <v>38</v>
      </c>
      <c r="J548" t="s">
        <v>38</v>
      </c>
      <c r="K548" t="s">
        <v>38</v>
      </c>
      <c r="L548" t="s">
        <v>38</v>
      </c>
    </row>
    <row r="549" spans="2:12">
      <c r="B549" t="s">
        <v>38</v>
      </c>
      <c r="C549">
        <v>1</v>
      </c>
      <c r="H549" t="s">
        <v>38</v>
      </c>
      <c r="I549" t="s">
        <v>38</v>
      </c>
      <c r="J549" t="s">
        <v>38</v>
      </c>
      <c r="K549" t="s">
        <v>38</v>
      </c>
      <c r="L549" t="s">
        <v>38</v>
      </c>
    </row>
    <row r="550" spans="2:12">
      <c r="B550" t="s">
        <v>38</v>
      </c>
      <c r="C550">
        <v>1</v>
      </c>
      <c r="H550" t="s">
        <v>38</v>
      </c>
      <c r="I550" t="s">
        <v>38</v>
      </c>
      <c r="J550" t="s">
        <v>38</v>
      </c>
      <c r="K550" t="s">
        <v>38</v>
      </c>
      <c r="L550" t="s">
        <v>38</v>
      </c>
    </row>
    <row r="551" spans="2:12">
      <c r="B551" t="s">
        <v>38</v>
      </c>
      <c r="C551">
        <v>1</v>
      </c>
      <c r="H551" t="s">
        <v>38</v>
      </c>
      <c r="I551" t="s">
        <v>38</v>
      </c>
      <c r="J551" t="s">
        <v>38</v>
      </c>
      <c r="K551" t="s">
        <v>38</v>
      </c>
      <c r="L551" t="s">
        <v>38</v>
      </c>
    </row>
    <row r="552" spans="2:12">
      <c r="B552" t="s">
        <v>38</v>
      </c>
      <c r="C552">
        <v>1</v>
      </c>
      <c r="H552" t="s">
        <v>38</v>
      </c>
      <c r="I552" t="s">
        <v>38</v>
      </c>
      <c r="J552" t="s">
        <v>38</v>
      </c>
      <c r="K552" t="s">
        <v>38</v>
      </c>
      <c r="L552" t="s">
        <v>38</v>
      </c>
    </row>
    <row r="553" spans="2:12">
      <c r="B553" t="s">
        <v>38</v>
      </c>
      <c r="C553">
        <v>1</v>
      </c>
      <c r="H553" t="s">
        <v>38</v>
      </c>
      <c r="I553" t="s">
        <v>38</v>
      </c>
      <c r="J553" t="s">
        <v>38</v>
      </c>
      <c r="K553" t="s">
        <v>38</v>
      </c>
      <c r="L553" t="s">
        <v>38</v>
      </c>
    </row>
    <row r="554" spans="2:12">
      <c r="B554" t="s">
        <v>38</v>
      </c>
      <c r="C554">
        <v>1</v>
      </c>
      <c r="H554" t="s">
        <v>38</v>
      </c>
      <c r="I554" t="s">
        <v>38</v>
      </c>
      <c r="J554" t="s">
        <v>38</v>
      </c>
      <c r="K554" t="s">
        <v>38</v>
      </c>
      <c r="L554" t="s">
        <v>38</v>
      </c>
    </row>
    <row r="555" spans="2:12">
      <c r="B555" t="s">
        <v>38</v>
      </c>
      <c r="C555">
        <v>1</v>
      </c>
      <c r="H555" t="s">
        <v>38</v>
      </c>
      <c r="I555" t="s">
        <v>38</v>
      </c>
      <c r="J555" t="s">
        <v>38</v>
      </c>
      <c r="K555" t="s">
        <v>38</v>
      </c>
      <c r="L555" t="s">
        <v>38</v>
      </c>
    </row>
    <row r="556" spans="2:12">
      <c r="B556" t="s">
        <v>38</v>
      </c>
      <c r="C556">
        <v>1</v>
      </c>
      <c r="H556" t="s">
        <v>38</v>
      </c>
      <c r="I556" t="s">
        <v>38</v>
      </c>
      <c r="J556" t="s">
        <v>38</v>
      </c>
      <c r="K556" t="s">
        <v>38</v>
      </c>
      <c r="L556" t="s">
        <v>38</v>
      </c>
    </row>
    <row r="557" spans="2:12">
      <c r="B557" t="s">
        <v>38</v>
      </c>
      <c r="C557">
        <v>1</v>
      </c>
      <c r="H557" t="s">
        <v>38</v>
      </c>
      <c r="I557" t="s">
        <v>38</v>
      </c>
      <c r="J557" t="s">
        <v>38</v>
      </c>
      <c r="K557" t="s">
        <v>38</v>
      </c>
      <c r="L557" t="s">
        <v>38</v>
      </c>
    </row>
    <row r="558" spans="2:12">
      <c r="B558" t="s">
        <v>38</v>
      </c>
      <c r="C558">
        <v>1</v>
      </c>
      <c r="H558" t="s">
        <v>38</v>
      </c>
      <c r="I558" t="s">
        <v>38</v>
      </c>
      <c r="J558" t="s">
        <v>38</v>
      </c>
      <c r="K558" t="s">
        <v>38</v>
      </c>
      <c r="L558" t="s">
        <v>38</v>
      </c>
    </row>
    <row r="559" spans="2:12">
      <c r="B559" t="s">
        <v>38</v>
      </c>
      <c r="C559">
        <v>1</v>
      </c>
      <c r="H559" t="s">
        <v>38</v>
      </c>
      <c r="I559" t="s">
        <v>38</v>
      </c>
      <c r="J559" t="s">
        <v>38</v>
      </c>
      <c r="K559" t="s">
        <v>38</v>
      </c>
      <c r="L559" t="s">
        <v>38</v>
      </c>
    </row>
    <row r="561" spans="1:16">
      <c r="A561" t="s">
        <v>102</v>
      </c>
      <c r="B561" t="s">
        <v>223</v>
      </c>
      <c r="C561">
        <v>1</v>
      </c>
      <c r="E561">
        <v>0</v>
      </c>
      <c r="H561" t="s">
        <v>38</v>
      </c>
      <c r="I561" t="s">
        <v>38</v>
      </c>
      <c r="J561" t="s">
        <v>38</v>
      </c>
      <c r="K561" t="s">
        <v>38</v>
      </c>
      <c r="L561" t="s">
        <v>38</v>
      </c>
      <c r="O561">
        <v>28</v>
      </c>
      <c r="P561">
        <v>45840.17</v>
      </c>
    </row>
    <row r="562" spans="1:16">
      <c r="B562" t="s">
        <v>225</v>
      </c>
      <c r="C562">
        <v>2</v>
      </c>
      <c r="E562">
        <v>1</v>
      </c>
      <c r="H562" t="s">
        <v>38</v>
      </c>
      <c r="I562" t="s">
        <v>38</v>
      </c>
      <c r="J562" t="s">
        <v>38</v>
      </c>
      <c r="K562" t="s">
        <v>38</v>
      </c>
      <c r="L562" t="s">
        <v>38</v>
      </c>
    </row>
    <row r="563" spans="1:16">
      <c r="B563" t="s">
        <v>223</v>
      </c>
      <c r="C563">
        <v>1</v>
      </c>
      <c r="E563">
        <v>1</v>
      </c>
      <c r="H563" t="s">
        <v>352</v>
      </c>
      <c r="I563" t="s">
        <v>353</v>
      </c>
      <c r="J563" t="s">
        <v>38</v>
      </c>
      <c r="K563" t="s">
        <v>38</v>
      </c>
      <c r="L563" t="s">
        <v>38</v>
      </c>
    </row>
    <row r="564" spans="1:16">
      <c r="B564" t="s">
        <v>225</v>
      </c>
      <c r="C564">
        <v>2</v>
      </c>
      <c r="E564">
        <v>1</v>
      </c>
      <c r="H564" t="s">
        <v>354</v>
      </c>
      <c r="I564" t="s">
        <v>38</v>
      </c>
      <c r="J564" t="s">
        <v>38</v>
      </c>
      <c r="K564" t="s">
        <v>38</v>
      </c>
      <c r="L564" t="s">
        <v>38</v>
      </c>
    </row>
    <row r="565" spans="1:16">
      <c r="B565" t="s">
        <v>223</v>
      </c>
      <c r="C565">
        <v>1</v>
      </c>
      <c r="E565">
        <v>2</v>
      </c>
      <c r="H565" t="s">
        <v>354</v>
      </c>
      <c r="I565" t="s">
        <v>355</v>
      </c>
      <c r="J565" t="s">
        <v>38</v>
      </c>
      <c r="K565" t="s">
        <v>38</v>
      </c>
      <c r="L565" t="s">
        <v>38</v>
      </c>
    </row>
    <row r="566" spans="1:16">
      <c r="B566" t="s">
        <v>225</v>
      </c>
      <c r="C566">
        <v>2</v>
      </c>
      <c r="E566">
        <v>2</v>
      </c>
      <c r="H566" t="s">
        <v>356</v>
      </c>
      <c r="I566" t="s">
        <v>38</v>
      </c>
      <c r="J566" t="s">
        <v>38</v>
      </c>
      <c r="K566" t="s">
        <v>38</v>
      </c>
      <c r="L566" t="s">
        <v>38</v>
      </c>
    </row>
    <row r="567" spans="1:16">
      <c r="B567" t="s">
        <v>223</v>
      </c>
      <c r="C567">
        <v>1</v>
      </c>
      <c r="E567">
        <v>2</v>
      </c>
      <c r="H567" t="s">
        <v>356</v>
      </c>
      <c r="I567" t="s">
        <v>357</v>
      </c>
      <c r="J567" t="s">
        <v>38</v>
      </c>
      <c r="K567" t="s">
        <v>38</v>
      </c>
      <c r="L567" t="s">
        <v>38</v>
      </c>
    </row>
    <row r="568" spans="1:16">
      <c r="B568" t="s">
        <v>225</v>
      </c>
      <c r="C568">
        <v>2</v>
      </c>
      <c r="E568">
        <v>2</v>
      </c>
      <c r="H568" t="s">
        <v>356</v>
      </c>
      <c r="I568" t="s">
        <v>38</v>
      </c>
      <c r="J568" t="s">
        <v>38</v>
      </c>
      <c r="K568" t="s">
        <v>38</v>
      </c>
      <c r="L568" t="s">
        <v>38</v>
      </c>
    </row>
    <row r="569" spans="1:16">
      <c r="B569" t="s">
        <v>223</v>
      </c>
      <c r="C569">
        <v>1</v>
      </c>
      <c r="E569">
        <v>2</v>
      </c>
      <c r="H569" t="s">
        <v>356</v>
      </c>
      <c r="I569" t="s">
        <v>357</v>
      </c>
      <c r="J569" t="s">
        <v>38</v>
      </c>
      <c r="K569" t="s">
        <v>38</v>
      </c>
      <c r="L569" t="s">
        <v>38</v>
      </c>
    </row>
    <row r="570" spans="1:16">
      <c r="B570" t="s">
        <v>225</v>
      </c>
      <c r="C570">
        <v>1</v>
      </c>
      <c r="E570">
        <v>3</v>
      </c>
      <c r="H570" t="s">
        <v>356</v>
      </c>
      <c r="I570" t="s">
        <v>38</v>
      </c>
      <c r="J570" t="s">
        <v>38</v>
      </c>
      <c r="K570" t="s">
        <v>38</v>
      </c>
      <c r="L570" t="s">
        <v>38</v>
      </c>
    </row>
    <row r="571" spans="1:16">
      <c r="B571" t="s">
        <v>137</v>
      </c>
      <c r="C571">
        <v>1</v>
      </c>
      <c r="E571">
        <v>3</v>
      </c>
      <c r="H571" t="s">
        <v>356</v>
      </c>
      <c r="I571" t="s">
        <v>38</v>
      </c>
      <c r="J571" t="s">
        <v>38</v>
      </c>
      <c r="K571" t="s">
        <v>38</v>
      </c>
      <c r="L571" t="s">
        <v>38</v>
      </c>
    </row>
    <row r="572" spans="1:16">
      <c r="B572" t="s">
        <v>218</v>
      </c>
      <c r="C572">
        <v>1</v>
      </c>
      <c r="E572">
        <v>4</v>
      </c>
      <c r="H572" t="s">
        <v>356</v>
      </c>
      <c r="I572" t="s">
        <v>38</v>
      </c>
      <c r="J572" t="s">
        <v>38</v>
      </c>
      <c r="K572" t="s">
        <v>38</v>
      </c>
      <c r="L572" t="s">
        <v>38</v>
      </c>
    </row>
    <row r="573" spans="1:16">
      <c r="B573" t="s">
        <v>219</v>
      </c>
      <c r="C573">
        <v>1</v>
      </c>
      <c r="E573">
        <v>4</v>
      </c>
      <c r="H573" t="s">
        <v>356</v>
      </c>
      <c r="I573" t="s">
        <v>38</v>
      </c>
      <c r="J573" t="s">
        <v>38</v>
      </c>
      <c r="K573" t="s">
        <v>38</v>
      </c>
      <c r="L573" t="s">
        <v>38</v>
      </c>
    </row>
    <row r="574" spans="1:16">
      <c r="B574" t="s">
        <v>152</v>
      </c>
      <c r="C574">
        <v>1</v>
      </c>
      <c r="E574">
        <v>5</v>
      </c>
      <c r="H574" t="s">
        <v>38</v>
      </c>
      <c r="I574" t="s">
        <v>38</v>
      </c>
      <c r="J574" t="s">
        <v>349</v>
      </c>
      <c r="K574" t="s">
        <v>339</v>
      </c>
      <c r="L574" t="s">
        <v>38</v>
      </c>
    </row>
    <row r="575" spans="1:16">
      <c r="B575" t="s">
        <v>221</v>
      </c>
      <c r="C575">
        <v>1</v>
      </c>
      <c r="E575">
        <v>5</v>
      </c>
      <c r="H575" t="s">
        <v>38</v>
      </c>
      <c r="I575" t="s">
        <v>38</v>
      </c>
      <c r="J575" t="s">
        <v>349</v>
      </c>
      <c r="K575" t="s">
        <v>339</v>
      </c>
      <c r="L575" t="s">
        <v>38</v>
      </c>
    </row>
    <row r="576" spans="1:16">
      <c r="B576" t="s">
        <v>222</v>
      </c>
      <c r="C576">
        <v>1</v>
      </c>
      <c r="E576">
        <v>5</v>
      </c>
      <c r="H576" t="s">
        <v>38</v>
      </c>
      <c r="I576" t="s">
        <v>38</v>
      </c>
      <c r="J576" t="s">
        <v>349</v>
      </c>
      <c r="K576" t="s">
        <v>339</v>
      </c>
      <c r="L576" t="s">
        <v>38</v>
      </c>
    </row>
    <row r="577" spans="2:12">
      <c r="B577" t="s">
        <v>131</v>
      </c>
      <c r="C577">
        <v>1</v>
      </c>
      <c r="E577">
        <v>5</v>
      </c>
      <c r="H577" t="s">
        <v>38</v>
      </c>
      <c r="I577" t="s">
        <v>38</v>
      </c>
      <c r="J577" t="s">
        <v>349</v>
      </c>
      <c r="K577" t="s">
        <v>339</v>
      </c>
      <c r="L577" t="s">
        <v>38</v>
      </c>
    </row>
    <row r="578" spans="2:12">
      <c r="B578" t="s">
        <v>223</v>
      </c>
      <c r="C578">
        <v>1</v>
      </c>
      <c r="E578">
        <v>5</v>
      </c>
      <c r="G578">
        <v>1</v>
      </c>
      <c r="H578" t="s">
        <v>38</v>
      </c>
      <c r="I578" t="s">
        <v>38</v>
      </c>
      <c r="J578" t="s">
        <v>349</v>
      </c>
      <c r="K578" t="s">
        <v>339</v>
      </c>
      <c r="L578" t="s">
        <v>38</v>
      </c>
    </row>
    <row r="579" spans="2:12">
      <c r="B579" t="s">
        <v>225</v>
      </c>
      <c r="C579">
        <v>2</v>
      </c>
      <c r="E579">
        <v>5</v>
      </c>
      <c r="G579">
        <v>1</v>
      </c>
      <c r="H579" t="s">
        <v>38</v>
      </c>
      <c r="I579" t="s">
        <v>38</v>
      </c>
      <c r="J579" t="s">
        <v>349</v>
      </c>
      <c r="K579" t="s">
        <v>339</v>
      </c>
      <c r="L579" t="s">
        <v>38</v>
      </c>
    </row>
    <row r="580" spans="2:12">
      <c r="B580" t="s">
        <v>223</v>
      </c>
      <c r="C580">
        <v>1</v>
      </c>
      <c r="E580">
        <v>5</v>
      </c>
      <c r="G580">
        <v>1</v>
      </c>
      <c r="H580" t="s">
        <v>352</v>
      </c>
      <c r="I580" t="s">
        <v>353</v>
      </c>
      <c r="J580" t="s">
        <v>349</v>
      </c>
      <c r="K580" t="s">
        <v>339</v>
      </c>
      <c r="L580" t="s">
        <v>38</v>
      </c>
    </row>
    <row r="581" spans="2:12">
      <c r="B581" t="s">
        <v>225</v>
      </c>
      <c r="C581">
        <v>2</v>
      </c>
      <c r="E581">
        <v>5</v>
      </c>
      <c r="G581">
        <v>1</v>
      </c>
      <c r="H581" t="s">
        <v>352</v>
      </c>
      <c r="I581" t="s">
        <v>38</v>
      </c>
      <c r="J581" t="s">
        <v>349</v>
      </c>
      <c r="K581" t="s">
        <v>339</v>
      </c>
      <c r="L581" t="s">
        <v>38</v>
      </c>
    </row>
    <row r="582" spans="2:12">
      <c r="B582" t="s">
        <v>223</v>
      </c>
      <c r="C582">
        <v>1</v>
      </c>
      <c r="E582">
        <v>5</v>
      </c>
      <c r="G582">
        <v>1</v>
      </c>
      <c r="H582" t="s">
        <v>354</v>
      </c>
      <c r="I582" t="s">
        <v>355</v>
      </c>
      <c r="J582" t="s">
        <v>349</v>
      </c>
      <c r="K582" t="s">
        <v>339</v>
      </c>
      <c r="L582" t="s">
        <v>38</v>
      </c>
    </row>
    <row r="583" spans="2:12">
      <c r="B583" t="s">
        <v>225</v>
      </c>
      <c r="C583">
        <v>2</v>
      </c>
      <c r="E583">
        <v>5</v>
      </c>
      <c r="G583">
        <v>1</v>
      </c>
      <c r="H583" t="s">
        <v>354</v>
      </c>
      <c r="I583" t="s">
        <v>38</v>
      </c>
      <c r="J583" t="s">
        <v>349</v>
      </c>
      <c r="K583" t="s">
        <v>339</v>
      </c>
      <c r="L583" t="s">
        <v>38</v>
      </c>
    </row>
    <row r="584" spans="2:12">
      <c r="B584" t="s">
        <v>223</v>
      </c>
      <c r="C584">
        <v>1</v>
      </c>
      <c r="E584">
        <v>5</v>
      </c>
      <c r="G584">
        <v>1</v>
      </c>
      <c r="H584" t="s">
        <v>356</v>
      </c>
      <c r="I584" t="s">
        <v>357</v>
      </c>
      <c r="J584" t="s">
        <v>349</v>
      </c>
      <c r="K584" t="s">
        <v>339</v>
      </c>
      <c r="L584" t="s">
        <v>358</v>
      </c>
    </row>
    <row r="585" spans="2:12">
      <c r="B585" t="s">
        <v>225</v>
      </c>
      <c r="C585">
        <v>2</v>
      </c>
      <c r="E585">
        <v>5</v>
      </c>
      <c r="G585">
        <v>1</v>
      </c>
      <c r="H585" t="s">
        <v>356</v>
      </c>
      <c r="I585" t="s">
        <v>38</v>
      </c>
      <c r="J585" t="s">
        <v>349</v>
      </c>
      <c r="K585" t="s">
        <v>339</v>
      </c>
      <c r="L585" t="s">
        <v>38</v>
      </c>
    </row>
    <row r="586" spans="2:12">
      <c r="B586" t="s">
        <v>223</v>
      </c>
      <c r="C586">
        <v>1</v>
      </c>
      <c r="E586">
        <v>5</v>
      </c>
      <c r="G586">
        <v>1</v>
      </c>
      <c r="H586" t="s">
        <v>356</v>
      </c>
      <c r="I586" t="s">
        <v>357</v>
      </c>
      <c r="J586" t="s">
        <v>349</v>
      </c>
      <c r="K586" t="s">
        <v>339</v>
      </c>
      <c r="L586" t="s">
        <v>38</v>
      </c>
    </row>
    <row r="587" spans="2:12">
      <c r="B587" t="s">
        <v>225</v>
      </c>
      <c r="C587">
        <v>2</v>
      </c>
      <c r="E587">
        <v>5</v>
      </c>
      <c r="G587">
        <v>1</v>
      </c>
      <c r="H587" t="s">
        <v>356</v>
      </c>
      <c r="I587" t="s">
        <v>38</v>
      </c>
      <c r="J587" t="s">
        <v>349</v>
      </c>
      <c r="K587" t="s">
        <v>339</v>
      </c>
      <c r="L587" t="s">
        <v>38</v>
      </c>
    </row>
    <row r="588" spans="2:12">
      <c r="B588" t="s">
        <v>223</v>
      </c>
      <c r="C588">
        <v>1</v>
      </c>
      <c r="D588">
        <v>1</v>
      </c>
      <c r="E588">
        <v>5</v>
      </c>
      <c r="F588">
        <v>5</v>
      </c>
      <c r="G588">
        <v>1</v>
      </c>
      <c r="H588" t="s">
        <v>356</v>
      </c>
      <c r="I588" t="s">
        <v>357</v>
      </c>
      <c r="J588" t="s">
        <v>349</v>
      </c>
      <c r="K588" t="s">
        <v>339</v>
      </c>
      <c r="L588" t="s">
        <v>38</v>
      </c>
    </row>
    <row r="589" spans="2:12">
      <c r="B589" t="s">
        <v>225</v>
      </c>
      <c r="C589">
        <v>2</v>
      </c>
      <c r="D589">
        <v>1</v>
      </c>
      <c r="E589">
        <v>5</v>
      </c>
      <c r="F589">
        <v>5</v>
      </c>
      <c r="G589">
        <v>1</v>
      </c>
      <c r="H589" t="s">
        <v>356</v>
      </c>
      <c r="I589" t="s">
        <v>38</v>
      </c>
      <c r="J589" t="s">
        <v>349</v>
      </c>
      <c r="K589" t="s">
        <v>339</v>
      </c>
      <c r="L589" t="s">
        <v>38</v>
      </c>
    </row>
    <row r="590" spans="2:12">
      <c r="B590" t="s">
        <v>223</v>
      </c>
      <c r="C590">
        <v>1</v>
      </c>
      <c r="D590">
        <v>1</v>
      </c>
      <c r="E590">
        <v>5</v>
      </c>
      <c r="F590">
        <v>5</v>
      </c>
      <c r="G590">
        <v>1</v>
      </c>
      <c r="H590" t="s">
        <v>356</v>
      </c>
      <c r="I590" t="s">
        <v>357</v>
      </c>
      <c r="J590" t="s">
        <v>349</v>
      </c>
      <c r="K590" t="s">
        <v>339</v>
      </c>
      <c r="L590" t="s">
        <v>358</v>
      </c>
    </row>
    <row r="591" spans="2:12">
      <c r="B591" t="s">
        <v>225</v>
      </c>
      <c r="C591">
        <v>2</v>
      </c>
      <c r="D591">
        <v>1</v>
      </c>
      <c r="E591">
        <v>5</v>
      </c>
      <c r="F591">
        <v>5</v>
      </c>
      <c r="G591">
        <v>1</v>
      </c>
      <c r="H591" t="s">
        <v>356</v>
      </c>
      <c r="I591" t="s">
        <v>38</v>
      </c>
      <c r="J591" t="s">
        <v>349</v>
      </c>
      <c r="K591" t="s">
        <v>339</v>
      </c>
      <c r="L591" t="s">
        <v>38</v>
      </c>
    </row>
    <row r="592" spans="2:12">
      <c r="B592" t="s">
        <v>223</v>
      </c>
      <c r="C592">
        <v>1</v>
      </c>
      <c r="D592">
        <v>1</v>
      </c>
      <c r="E592">
        <v>5</v>
      </c>
      <c r="F592">
        <v>5</v>
      </c>
      <c r="G592">
        <v>1</v>
      </c>
      <c r="H592" t="s">
        <v>356</v>
      </c>
      <c r="I592" t="s">
        <v>357</v>
      </c>
      <c r="J592" t="s">
        <v>349</v>
      </c>
      <c r="K592" t="s">
        <v>339</v>
      </c>
      <c r="L592" t="s">
        <v>38</v>
      </c>
    </row>
    <row r="593" spans="2:12">
      <c r="B593" t="s">
        <v>225</v>
      </c>
      <c r="C593">
        <v>2</v>
      </c>
      <c r="D593">
        <v>1</v>
      </c>
      <c r="E593">
        <v>5</v>
      </c>
      <c r="F593">
        <v>5</v>
      </c>
      <c r="G593">
        <v>1</v>
      </c>
      <c r="H593" t="s">
        <v>356</v>
      </c>
      <c r="I593" t="s">
        <v>38</v>
      </c>
      <c r="J593" t="s">
        <v>349</v>
      </c>
      <c r="K593" t="s">
        <v>339</v>
      </c>
      <c r="L593" t="s">
        <v>38</v>
      </c>
    </row>
    <row r="594" spans="2:12">
      <c r="B594" t="s">
        <v>223</v>
      </c>
      <c r="C594">
        <v>1</v>
      </c>
      <c r="D594">
        <v>1</v>
      </c>
      <c r="E594">
        <v>5</v>
      </c>
      <c r="F594">
        <v>5</v>
      </c>
      <c r="G594">
        <v>1</v>
      </c>
      <c r="H594" t="s">
        <v>356</v>
      </c>
      <c r="I594" t="s">
        <v>357</v>
      </c>
      <c r="J594" t="s">
        <v>349</v>
      </c>
      <c r="K594" t="s">
        <v>339</v>
      </c>
      <c r="L594" t="s">
        <v>38</v>
      </c>
    </row>
    <row r="595" spans="2:12">
      <c r="B595" t="s">
        <v>225</v>
      </c>
      <c r="C595">
        <v>2</v>
      </c>
      <c r="D595">
        <v>1</v>
      </c>
      <c r="E595">
        <v>5</v>
      </c>
      <c r="F595">
        <v>5</v>
      </c>
      <c r="G595">
        <v>1</v>
      </c>
      <c r="H595" t="s">
        <v>356</v>
      </c>
      <c r="I595" t="s">
        <v>38</v>
      </c>
      <c r="J595" t="s">
        <v>349</v>
      </c>
      <c r="K595" t="s">
        <v>339</v>
      </c>
      <c r="L595" t="s">
        <v>38</v>
      </c>
    </row>
    <row r="596" spans="2:12">
      <c r="B596" t="s">
        <v>223</v>
      </c>
      <c r="C596">
        <v>1</v>
      </c>
      <c r="D596">
        <v>1</v>
      </c>
      <c r="E596">
        <v>5</v>
      </c>
      <c r="F596">
        <v>5</v>
      </c>
      <c r="G596">
        <v>1</v>
      </c>
      <c r="H596" t="s">
        <v>356</v>
      </c>
      <c r="I596" t="s">
        <v>357</v>
      </c>
      <c r="J596" t="s">
        <v>349</v>
      </c>
      <c r="K596" t="s">
        <v>339</v>
      </c>
      <c r="L596" t="s">
        <v>358</v>
      </c>
    </row>
    <row r="597" spans="2:12">
      <c r="B597" t="s">
        <v>225</v>
      </c>
      <c r="C597">
        <v>2</v>
      </c>
      <c r="D597">
        <v>1</v>
      </c>
      <c r="E597">
        <v>5</v>
      </c>
      <c r="F597">
        <v>5</v>
      </c>
      <c r="G597">
        <v>1</v>
      </c>
      <c r="H597" t="s">
        <v>356</v>
      </c>
      <c r="I597" t="s">
        <v>38</v>
      </c>
      <c r="J597" t="s">
        <v>349</v>
      </c>
      <c r="K597" t="s">
        <v>339</v>
      </c>
      <c r="L597" t="s">
        <v>38</v>
      </c>
    </row>
    <row r="598" spans="2:12">
      <c r="B598" t="s">
        <v>223</v>
      </c>
      <c r="C598">
        <v>1</v>
      </c>
      <c r="D598">
        <v>1</v>
      </c>
      <c r="E598">
        <v>5</v>
      </c>
      <c r="F598">
        <v>5</v>
      </c>
      <c r="G598">
        <v>1</v>
      </c>
      <c r="H598" t="s">
        <v>356</v>
      </c>
      <c r="I598" t="s">
        <v>357</v>
      </c>
      <c r="J598" t="s">
        <v>349</v>
      </c>
      <c r="K598" t="s">
        <v>339</v>
      </c>
      <c r="L598" t="s">
        <v>38</v>
      </c>
    </row>
    <row r="599" spans="2:12">
      <c r="B599" t="s">
        <v>225</v>
      </c>
      <c r="C599">
        <v>2</v>
      </c>
      <c r="D599">
        <v>1</v>
      </c>
      <c r="E599">
        <v>5</v>
      </c>
      <c r="F599">
        <v>5</v>
      </c>
      <c r="G599">
        <v>1</v>
      </c>
      <c r="H599" t="s">
        <v>356</v>
      </c>
      <c r="I599" t="s">
        <v>38</v>
      </c>
      <c r="J599" t="s">
        <v>349</v>
      </c>
      <c r="K599" t="s">
        <v>339</v>
      </c>
      <c r="L599" t="s">
        <v>38</v>
      </c>
    </row>
    <row r="600" spans="2:12">
      <c r="B600" t="s">
        <v>223</v>
      </c>
      <c r="C600">
        <v>1</v>
      </c>
      <c r="D600">
        <v>1</v>
      </c>
      <c r="E600">
        <v>5</v>
      </c>
      <c r="F600">
        <v>5</v>
      </c>
      <c r="G600">
        <v>1</v>
      </c>
      <c r="H600" t="s">
        <v>356</v>
      </c>
      <c r="I600" t="s">
        <v>357</v>
      </c>
      <c r="J600" t="s">
        <v>349</v>
      </c>
      <c r="K600" t="s">
        <v>38</v>
      </c>
      <c r="L600" t="s">
        <v>38</v>
      </c>
    </row>
    <row r="601" spans="2:12">
      <c r="B601" t="s">
        <v>225</v>
      </c>
      <c r="C601">
        <v>2</v>
      </c>
      <c r="D601">
        <v>1</v>
      </c>
      <c r="E601">
        <v>5</v>
      </c>
      <c r="F601">
        <v>5</v>
      </c>
      <c r="G601">
        <v>1</v>
      </c>
      <c r="H601" t="s">
        <v>356</v>
      </c>
      <c r="I601" t="s">
        <v>38</v>
      </c>
      <c r="J601" t="s">
        <v>349</v>
      </c>
      <c r="K601" t="s">
        <v>38</v>
      </c>
      <c r="L601" t="s">
        <v>38</v>
      </c>
    </row>
    <row r="602" spans="2:12">
      <c r="B602" t="s">
        <v>223</v>
      </c>
      <c r="C602">
        <v>1</v>
      </c>
      <c r="D602">
        <v>1</v>
      </c>
      <c r="E602">
        <v>5</v>
      </c>
      <c r="F602">
        <v>5</v>
      </c>
      <c r="G602">
        <v>1</v>
      </c>
      <c r="H602" t="s">
        <v>356</v>
      </c>
      <c r="I602" t="s">
        <v>357</v>
      </c>
      <c r="J602" t="s">
        <v>349</v>
      </c>
      <c r="K602" t="s">
        <v>38</v>
      </c>
      <c r="L602" t="s">
        <v>358</v>
      </c>
    </row>
    <row r="603" spans="2:12">
      <c r="B603" t="s">
        <v>225</v>
      </c>
      <c r="C603">
        <v>1</v>
      </c>
      <c r="D603">
        <v>1</v>
      </c>
      <c r="E603">
        <v>5</v>
      </c>
      <c r="F603">
        <v>5</v>
      </c>
      <c r="G603">
        <v>1</v>
      </c>
      <c r="H603" t="s">
        <v>356</v>
      </c>
      <c r="I603" t="s">
        <v>38</v>
      </c>
      <c r="J603" t="s">
        <v>349</v>
      </c>
      <c r="K603" t="s">
        <v>38</v>
      </c>
      <c r="L603" t="s">
        <v>38</v>
      </c>
    </row>
    <row r="604" spans="2:12">
      <c r="B604" t="s">
        <v>153</v>
      </c>
      <c r="C604">
        <v>5</v>
      </c>
      <c r="D604">
        <v>1</v>
      </c>
      <c r="E604">
        <v>5</v>
      </c>
      <c r="F604">
        <v>5</v>
      </c>
      <c r="G604">
        <v>1</v>
      </c>
      <c r="H604" t="s">
        <v>356</v>
      </c>
      <c r="I604" t="s">
        <v>38</v>
      </c>
      <c r="J604" t="s">
        <v>349</v>
      </c>
      <c r="K604" t="s">
        <v>38</v>
      </c>
      <c r="L604" t="s">
        <v>38</v>
      </c>
    </row>
    <row r="605" spans="2:12">
      <c r="B605" t="s">
        <v>131</v>
      </c>
      <c r="C605">
        <v>1</v>
      </c>
      <c r="D605">
        <v>1</v>
      </c>
      <c r="E605">
        <v>5</v>
      </c>
      <c r="F605">
        <v>5</v>
      </c>
      <c r="G605">
        <v>1</v>
      </c>
      <c r="H605" t="s">
        <v>356</v>
      </c>
      <c r="I605" t="s">
        <v>38</v>
      </c>
      <c r="J605" t="s">
        <v>349</v>
      </c>
      <c r="K605" t="s">
        <v>38</v>
      </c>
      <c r="L605" t="s">
        <v>38</v>
      </c>
    </row>
    <row r="606" spans="2:12">
      <c r="B606" t="s">
        <v>137</v>
      </c>
      <c r="C606">
        <v>1</v>
      </c>
      <c r="E606">
        <v>5</v>
      </c>
      <c r="F606">
        <v>5</v>
      </c>
      <c r="H606" t="s">
        <v>356</v>
      </c>
      <c r="I606" t="s">
        <v>38</v>
      </c>
      <c r="J606" t="s">
        <v>349</v>
      </c>
      <c r="K606" t="s">
        <v>38</v>
      </c>
      <c r="L606" t="s">
        <v>38</v>
      </c>
    </row>
    <row r="607" spans="2:12">
      <c r="B607" t="s">
        <v>221</v>
      </c>
      <c r="C607">
        <v>1</v>
      </c>
      <c r="E607">
        <v>5</v>
      </c>
      <c r="F607">
        <v>5</v>
      </c>
      <c r="H607" t="s">
        <v>356</v>
      </c>
      <c r="I607" t="s">
        <v>38</v>
      </c>
      <c r="J607" t="s">
        <v>349</v>
      </c>
      <c r="K607" t="s">
        <v>38</v>
      </c>
      <c r="L607" t="s">
        <v>38</v>
      </c>
    </row>
    <row r="608" spans="2:12">
      <c r="B608" t="s">
        <v>222</v>
      </c>
      <c r="C608">
        <v>1</v>
      </c>
      <c r="E608">
        <v>5</v>
      </c>
      <c r="H608" t="s">
        <v>356</v>
      </c>
      <c r="I608" t="s">
        <v>38</v>
      </c>
      <c r="J608" t="s">
        <v>349</v>
      </c>
      <c r="K608" t="s">
        <v>38</v>
      </c>
      <c r="L608" t="s">
        <v>38</v>
      </c>
    </row>
    <row r="609" spans="2:12">
      <c r="B609" t="s">
        <v>127</v>
      </c>
      <c r="C609">
        <v>6</v>
      </c>
      <c r="E609">
        <v>5</v>
      </c>
      <c r="H609" t="s">
        <v>38</v>
      </c>
      <c r="I609" t="s">
        <v>38</v>
      </c>
      <c r="J609" t="s">
        <v>38</v>
      </c>
      <c r="K609" t="s">
        <v>38</v>
      </c>
      <c r="L609" t="s">
        <v>38</v>
      </c>
    </row>
    <row r="610" spans="2:12">
      <c r="B610" t="s">
        <v>128</v>
      </c>
      <c r="C610">
        <v>6</v>
      </c>
      <c r="E610">
        <v>5</v>
      </c>
      <c r="H610" t="s">
        <v>38</v>
      </c>
      <c r="I610" t="s">
        <v>38</v>
      </c>
      <c r="J610" t="s">
        <v>38</v>
      </c>
      <c r="K610" t="s">
        <v>38</v>
      </c>
      <c r="L610" t="s">
        <v>38</v>
      </c>
    </row>
    <row r="611" spans="2:12">
      <c r="B611" t="s">
        <v>127</v>
      </c>
      <c r="C611">
        <v>22</v>
      </c>
      <c r="E611">
        <v>5</v>
      </c>
      <c r="H611" t="s">
        <v>356</v>
      </c>
      <c r="I611" t="s">
        <v>38</v>
      </c>
      <c r="J611" t="s">
        <v>38</v>
      </c>
      <c r="K611" t="s">
        <v>38</v>
      </c>
      <c r="L611" t="s">
        <v>38</v>
      </c>
    </row>
    <row r="612" spans="2:12">
      <c r="B612" t="s">
        <v>128</v>
      </c>
      <c r="C612">
        <v>22</v>
      </c>
      <c r="E612">
        <v>5</v>
      </c>
      <c r="H612" t="s">
        <v>356</v>
      </c>
      <c r="I612" t="s">
        <v>38</v>
      </c>
      <c r="J612" t="s">
        <v>38</v>
      </c>
      <c r="K612" t="s">
        <v>38</v>
      </c>
      <c r="L612" t="s">
        <v>38</v>
      </c>
    </row>
    <row r="613" spans="2:12">
      <c r="B613" t="s">
        <v>38</v>
      </c>
      <c r="C613">
        <v>1</v>
      </c>
      <c r="H613" t="s">
        <v>38</v>
      </c>
      <c r="I613" t="s">
        <v>38</v>
      </c>
      <c r="J613" t="s">
        <v>38</v>
      </c>
      <c r="K613" t="s">
        <v>38</v>
      </c>
      <c r="L613" t="s">
        <v>38</v>
      </c>
    </row>
    <row r="614" spans="2:12">
      <c r="B614" t="s">
        <v>38</v>
      </c>
      <c r="C614">
        <v>1</v>
      </c>
      <c r="H614" t="s">
        <v>38</v>
      </c>
      <c r="I614" t="s">
        <v>38</v>
      </c>
      <c r="J614" t="s">
        <v>38</v>
      </c>
      <c r="K614" t="s">
        <v>38</v>
      </c>
      <c r="L614" t="s">
        <v>38</v>
      </c>
    </row>
    <row r="615" spans="2:12">
      <c r="B615" t="s">
        <v>38</v>
      </c>
      <c r="C615">
        <v>1</v>
      </c>
      <c r="H615" t="s">
        <v>38</v>
      </c>
      <c r="I615" t="s">
        <v>38</v>
      </c>
      <c r="J615" t="s">
        <v>38</v>
      </c>
      <c r="K615" t="s">
        <v>38</v>
      </c>
      <c r="L615" t="s">
        <v>38</v>
      </c>
    </row>
    <row r="616" spans="2:12">
      <c r="B616" t="s">
        <v>38</v>
      </c>
      <c r="C616">
        <v>1</v>
      </c>
      <c r="H616" t="s">
        <v>38</v>
      </c>
      <c r="I616" t="s">
        <v>38</v>
      </c>
      <c r="J616" t="s">
        <v>38</v>
      </c>
      <c r="K616" t="s">
        <v>38</v>
      </c>
      <c r="L616" t="s">
        <v>38</v>
      </c>
    </row>
    <row r="617" spans="2:12">
      <c r="B617" t="s">
        <v>38</v>
      </c>
      <c r="C617">
        <v>1</v>
      </c>
      <c r="H617" t="s">
        <v>38</v>
      </c>
      <c r="I617" t="s">
        <v>38</v>
      </c>
      <c r="J617" t="s">
        <v>38</v>
      </c>
      <c r="K617" t="s">
        <v>38</v>
      </c>
      <c r="L617" t="s">
        <v>38</v>
      </c>
    </row>
    <row r="618" spans="2:12">
      <c r="B618" t="s">
        <v>38</v>
      </c>
      <c r="C618">
        <v>1</v>
      </c>
      <c r="H618" t="s">
        <v>38</v>
      </c>
      <c r="I618" t="s">
        <v>38</v>
      </c>
      <c r="J618" t="s">
        <v>38</v>
      </c>
      <c r="K618" t="s">
        <v>38</v>
      </c>
      <c r="L618" t="s">
        <v>38</v>
      </c>
    </row>
    <row r="619" spans="2:12">
      <c r="B619" t="s">
        <v>38</v>
      </c>
      <c r="C619">
        <v>1</v>
      </c>
      <c r="H619" t="s">
        <v>38</v>
      </c>
      <c r="I619" t="s">
        <v>38</v>
      </c>
      <c r="J619" t="s">
        <v>38</v>
      </c>
      <c r="K619" t="s">
        <v>38</v>
      </c>
      <c r="L619" t="s">
        <v>38</v>
      </c>
    </row>
    <row r="620" spans="2:12">
      <c r="B620" t="s">
        <v>38</v>
      </c>
      <c r="C620">
        <v>1</v>
      </c>
      <c r="H620" t="s">
        <v>38</v>
      </c>
      <c r="I620" t="s">
        <v>38</v>
      </c>
      <c r="J620" t="s">
        <v>38</v>
      </c>
      <c r="K620" t="s">
        <v>38</v>
      </c>
      <c r="L620" t="s">
        <v>38</v>
      </c>
    </row>
    <row r="621" spans="2:12">
      <c r="B621" t="s">
        <v>38</v>
      </c>
      <c r="C621">
        <v>1</v>
      </c>
      <c r="H621" t="s">
        <v>38</v>
      </c>
      <c r="I621" t="s">
        <v>38</v>
      </c>
      <c r="J621" t="s">
        <v>38</v>
      </c>
      <c r="K621" t="s">
        <v>38</v>
      </c>
      <c r="L621" t="s">
        <v>38</v>
      </c>
    </row>
    <row r="622" spans="2:12">
      <c r="B622" t="s">
        <v>38</v>
      </c>
      <c r="C622">
        <v>1</v>
      </c>
      <c r="H622" t="s">
        <v>38</v>
      </c>
      <c r="I622" t="s">
        <v>38</v>
      </c>
      <c r="J622" t="s">
        <v>38</v>
      </c>
      <c r="K622" t="s">
        <v>38</v>
      </c>
      <c r="L622" t="s">
        <v>38</v>
      </c>
    </row>
    <row r="623" spans="2:12">
      <c r="B623" t="s">
        <v>38</v>
      </c>
      <c r="C623">
        <v>1</v>
      </c>
      <c r="H623" t="s">
        <v>38</v>
      </c>
      <c r="I623" t="s">
        <v>38</v>
      </c>
      <c r="J623" t="s">
        <v>38</v>
      </c>
      <c r="K623" t="s">
        <v>38</v>
      </c>
      <c r="L623" t="s">
        <v>38</v>
      </c>
    </row>
    <row r="624" spans="2:12">
      <c r="B624" t="s">
        <v>38</v>
      </c>
      <c r="C624">
        <v>1</v>
      </c>
      <c r="H624" t="s">
        <v>38</v>
      </c>
      <c r="I624" t="s">
        <v>38</v>
      </c>
      <c r="J624" t="s">
        <v>38</v>
      </c>
      <c r="K624" t="s">
        <v>38</v>
      </c>
      <c r="L624" t="s">
        <v>38</v>
      </c>
    </row>
    <row r="625" spans="2:12">
      <c r="B625" t="s">
        <v>38</v>
      </c>
      <c r="C625">
        <v>1</v>
      </c>
      <c r="H625" t="s">
        <v>38</v>
      </c>
      <c r="I625" t="s">
        <v>38</v>
      </c>
      <c r="J625" t="s">
        <v>38</v>
      </c>
      <c r="K625" t="s">
        <v>38</v>
      </c>
      <c r="L625" t="s">
        <v>38</v>
      </c>
    </row>
    <row r="626" spans="2:12">
      <c r="B626" t="s">
        <v>38</v>
      </c>
      <c r="C626">
        <v>1</v>
      </c>
      <c r="H626" t="s">
        <v>38</v>
      </c>
      <c r="I626" t="s">
        <v>38</v>
      </c>
      <c r="J626" t="s">
        <v>38</v>
      </c>
      <c r="K626" t="s">
        <v>38</v>
      </c>
      <c r="L626" t="s">
        <v>38</v>
      </c>
    </row>
    <row r="627" spans="2:12">
      <c r="B627" t="s">
        <v>38</v>
      </c>
      <c r="C627">
        <v>1</v>
      </c>
      <c r="H627" t="s">
        <v>38</v>
      </c>
      <c r="I627" t="s">
        <v>38</v>
      </c>
      <c r="J627" t="s">
        <v>38</v>
      </c>
      <c r="K627" t="s">
        <v>38</v>
      </c>
      <c r="L627" t="s">
        <v>38</v>
      </c>
    </row>
    <row r="628" spans="2:12">
      <c r="B628" t="s">
        <v>38</v>
      </c>
      <c r="C628">
        <v>1</v>
      </c>
      <c r="H628" t="s">
        <v>38</v>
      </c>
      <c r="I628" t="s">
        <v>38</v>
      </c>
      <c r="J628" t="s">
        <v>38</v>
      </c>
      <c r="K628" t="s">
        <v>38</v>
      </c>
      <c r="L628" t="s">
        <v>38</v>
      </c>
    </row>
    <row r="629" spans="2:12">
      <c r="B629" t="s">
        <v>38</v>
      </c>
      <c r="C629">
        <v>1</v>
      </c>
      <c r="H629" t="s">
        <v>38</v>
      </c>
      <c r="I629" t="s">
        <v>38</v>
      </c>
      <c r="J629" t="s">
        <v>38</v>
      </c>
      <c r="K629" t="s">
        <v>38</v>
      </c>
      <c r="L629" t="s">
        <v>38</v>
      </c>
    </row>
    <row r="630" spans="2:12">
      <c r="B630" t="s">
        <v>38</v>
      </c>
      <c r="C630">
        <v>1</v>
      </c>
      <c r="H630" t="s">
        <v>38</v>
      </c>
      <c r="I630" t="s">
        <v>38</v>
      </c>
      <c r="J630" t="s">
        <v>38</v>
      </c>
      <c r="K630" t="s">
        <v>38</v>
      </c>
      <c r="L630" t="s">
        <v>38</v>
      </c>
    </row>
    <row r="631" spans="2:12">
      <c r="B631" t="s">
        <v>38</v>
      </c>
      <c r="C631">
        <v>1</v>
      </c>
      <c r="H631" t="s">
        <v>38</v>
      </c>
      <c r="I631" t="s">
        <v>38</v>
      </c>
      <c r="J631" t="s">
        <v>38</v>
      </c>
      <c r="K631" t="s">
        <v>38</v>
      </c>
      <c r="L631" t="s">
        <v>38</v>
      </c>
    </row>
    <row r="632" spans="2:12">
      <c r="B632" t="s">
        <v>38</v>
      </c>
      <c r="C632">
        <v>1</v>
      </c>
      <c r="H632" t="s">
        <v>38</v>
      </c>
      <c r="I632" t="s">
        <v>38</v>
      </c>
      <c r="J632" t="s">
        <v>38</v>
      </c>
      <c r="K632" t="s">
        <v>38</v>
      </c>
      <c r="L632" t="s">
        <v>38</v>
      </c>
    </row>
    <row r="633" spans="2:12">
      <c r="B633" t="s">
        <v>38</v>
      </c>
      <c r="C633">
        <v>1</v>
      </c>
      <c r="H633" t="s">
        <v>38</v>
      </c>
      <c r="I633" t="s">
        <v>38</v>
      </c>
      <c r="J633" t="s">
        <v>38</v>
      </c>
      <c r="K633" t="s">
        <v>38</v>
      </c>
      <c r="L633" t="s">
        <v>38</v>
      </c>
    </row>
    <row r="634" spans="2:12">
      <c r="B634" t="s">
        <v>38</v>
      </c>
      <c r="C634">
        <v>1</v>
      </c>
      <c r="H634" t="s">
        <v>38</v>
      </c>
      <c r="I634" t="s">
        <v>38</v>
      </c>
      <c r="J634" t="s">
        <v>38</v>
      </c>
      <c r="K634" t="s">
        <v>38</v>
      </c>
      <c r="L634" t="s">
        <v>38</v>
      </c>
    </row>
    <row r="635" spans="2:12">
      <c r="B635" t="s">
        <v>38</v>
      </c>
      <c r="C635">
        <v>1</v>
      </c>
      <c r="H635" t="s">
        <v>38</v>
      </c>
      <c r="I635" t="s">
        <v>38</v>
      </c>
      <c r="J635" t="s">
        <v>38</v>
      </c>
      <c r="K635" t="s">
        <v>38</v>
      </c>
      <c r="L635" t="s">
        <v>38</v>
      </c>
    </row>
    <row r="636" spans="2:12">
      <c r="B636" t="s">
        <v>38</v>
      </c>
      <c r="C636">
        <v>1</v>
      </c>
      <c r="H636" t="s">
        <v>38</v>
      </c>
      <c r="I636" t="s">
        <v>38</v>
      </c>
      <c r="J636" t="s">
        <v>38</v>
      </c>
      <c r="K636" t="s">
        <v>38</v>
      </c>
      <c r="L636" t="s">
        <v>38</v>
      </c>
    </row>
    <row r="637" spans="2:12">
      <c r="B637" t="s">
        <v>38</v>
      </c>
      <c r="C637">
        <v>1</v>
      </c>
      <c r="H637" t="s">
        <v>38</v>
      </c>
      <c r="I637" t="s">
        <v>38</v>
      </c>
      <c r="J637" t="s">
        <v>38</v>
      </c>
      <c r="K637" t="s">
        <v>38</v>
      </c>
      <c r="L637" t="s">
        <v>38</v>
      </c>
    </row>
    <row r="638" spans="2:12">
      <c r="B638" t="s">
        <v>38</v>
      </c>
      <c r="C638">
        <v>1</v>
      </c>
      <c r="H638" t="s">
        <v>38</v>
      </c>
      <c r="I638" t="s">
        <v>38</v>
      </c>
      <c r="J638" t="s">
        <v>38</v>
      </c>
      <c r="K638" t="s">
        <v>38</v>
      </c>
      <c r="L638" t="s">
        <v>38</v>
      </c>
    </row>
    <row r="639" spans="2:12">
      <c r="B639" t="s">
        <v>38</v>
      </c>
      <c r="C639">
        <v>1</v>
      </c>
      <c r="H639" t="s">
        <v>38</v>
      </c>
      <c r="I639" t="s">
        <v>38</v>
      </c>
      <c r="J639" t="s">
        <v>38</v>
      </c>
      <c r="K639" t="s">
        <v>38</v>
      </c>
      <c r="L639" t="s">
        <v>38</v>
      </c>
    </row>
    <row r="640" spans="2:12">
      <c r="B640" t="s">
        <v>38</v>
      </c>
      <c r="C640">
        <v>1</v>
      </c>
      <c r="H640" t="s">
        <v>38</v>
      </c>
      <c r="I640" t="s">
        <v>38</v>
      </c>
      <c r="J640" t="s">
        <v>38</v>
      </c>
      <c r="K640" t="s">
        <v>38</v>
      </c>
      <c r="L640" t="s">
        <v>38</v>
      </c>
    </row>
    <row r="641" spans="2:12">
      <c r="B641" t="s">
        <v>38</v>
      </c>
      <c r="C641">
        <v>1</v>
      </c>
      <c r="H641" t="s">
        <v>38</v>
      </c>
      <c r="I641" t="s">
        <v>38</v>
      </c>
      <c r="J641" t="s">
        <v>38</v>
      </c>
      <c r="K641" t="s">
        <v>38</v>
      </c>
      <c r="L641" t="s">
        <v>38</v>
      </c>
    </row>
    <row r="642" spans="2:12">
      <c r="B642" t="s">
        <v>38</v>
      </c>
      <c r="C642">
        <v>1</v>
      </c>
      <c r="H642" t="s">
        <v>38</v>
      </c>
      <c r="I642" t="s">
        <v>38</v>
      </c>
      <c r="J642" t="s">
        <v>38</v>
      </c>
      <c r="K642" t="s">
        <v>38</v>
      </c>
      <c r="L642" t="s">
        <v>38</v>
      </c>
    </row>
    <row r="643" spans="2:12">
      <c r="B643" t="s">
        <v>38</v>
      </c>
      <c r="C643">
        <v>1</v>
      </c>
      <c r="H643" t="s">
        <v>38</v>
      </c>
      <c r="I643" t="s">
        <v>38</v>
      </c>
      <c r="J643" t="s">
        <v>38</v>
      </c>
      <c r="K643" t="s">
        <v>38</v>
      </c>
      <c r="L643" t="s">
        <v>38</v>
      </c>
    </row>
    <row r="644" spans="2:12">
      <c r="B644" t="s">
        <v>38</v>
      </c>
      <c r="C644">
        <v>1</v>
      </c>
      <c r="H644" t="s">
        <v>38</v>
      </c>
      <c r="I644" t="s">
        <v>38</v>
      </c>
      <c r="J644" t="s">
        <v>38</v>
      </c>
      <c r="K644" t="s">
        <v>38</v>
      </c>
      <c r="L644" t="s">
        <v>38</v>
      </c>
    </row>
    <row r="645" spans="2:12">
      <c r="B645" t="s">
        <v>38</v>
      </c>
      <c r="C645">
        <v>1</v>
      </c>
      <c r="H645" t="s">
        <v>38</v>
      </c>
      <c r="I645" t="s">
        <v>38</v>
      </c>
      <c r="J645" t="s">
        <v>38</v>
      </c>
      <c r="K645" t="s">
        <v>38</v>
      </c>
      <c r="L645" t="s">
        <v>38</v>
      </c>
    </row>
    <row r="646" spans="2:12">
      <c r="B646" t="s">
        <v>38</v>
      </c>
      <c r="C646">
        <v>1</v>
      </c>
      <c r="H646" t="s">
        <v>38</v>
      </c>
      <c r="I646" t="s">
        <v>38</v>
      </c>
      <c r="J646" t="s">
        <v>38</v>
      </c>
      <c r="K646" t="s">
        <v>38</v>
      </c>
      <c r="L646" t="s">
        <v>38</v>
      </c>
    </row>
    <row r="647" spans="2:12">
      <c r="B647" t="s">
        <v>38</v>
      </c>
      <c r="C647">
        <v>1</v>
      </c>
      <c r="H647" t="s">
        <v>38</v>
      </c>
      <c r="I647" t="s">
        <v>38</v>
      </c>
      <c r="J647" t="s">
        <v>38</v>
      </c>
      <c r="K647" t="s">
        <v>38</v>
      </c>
      <c r="L647" t="s">
        <v>38</v>
      </c>
    </row>
    <row r="648" spans="2:12">
      <c r="B648" t="s">
        <v>38</v>
      </c>
      <c r="C648">
        <v>1</v>
      </c>
      <c r="H648" t="s">
        <v>38</v>
      </c>
      <c r="I648" t="s">
        <v>38</v>
      </c>
      <c r="J648" t="s">
        <v>38</v>
      </c>
      <c r="K648" t="s">
        <v>38</v>
      </c>
      <c r="L648" t="s">
        <v>38</v>
      </c>
    </row>
    <row r="649" spans="2:12">
      <c r="B649" t="s">
        <v>38</v>
      </c>
      <c r="C649">
        <v>1</v>
      </c>
      <c r="H649" t="s">
        <v>38</v>
      </c>
      <c r="I649" t="s">
        <v>38</v>
      </c>
      <c r="J649" t="s">
        <v>38</v>
      </c>
      <c r="K649" t="s">
        <v>38</v>
      </c>
      <c r="L649" t="s">
        <v>38</v>
      </c>
    </row>
    <row r="650" spans="2:12">
      <c r="B650" t="s">
        <v>38</v>
      </c>
      <c r="C650">
        <v>1</v>
      </c>
      <c r="H650" t="s">
        <v>38</v>
      </c>
      <c r="I650" t="s">
        <v>38</v>
      </c>
      <c r="J650" t="s">
        <v>38</v>
      </c>
      <c r="K650" t="s">
        <v>38</v>
      </c>
      <c r="L650" t="s">
        <v>38</v>
      </c>
    </row>
    <row r="651" spans="2:12">
      <c r="B651" t="s">
        <v>38</v>
      </c>
      <c r="C651">
        <v>1</v>
      </c>
      <c r="H651" t="s">
        <v>38</v>
      </c>
      <c r="I651" t="s">
        <v>38</v>
      </c>
      <c r="J651" t="s">
        <v>38</v>
      </c>
      <c r="K651" t="s">
        <v>38</v>
      </c>
      <c r="L651" t="s">
        <v>38</v>
      </c>
    </row>
    <row r="652" spans="2:12">
      <c r="B652" t="s">
        <v>38</v>
      </c>
      <c r="C652">
        <v>1</v>
      </c>
      <c r="H652" t="s">
        <v>38</v>
      </c>
      <c r="I652" t="s">
        <v>38</v>
      </c>
      <c r="J652" t="s">
        <v>38</v>
      </c>
      <c r="K652" t="s">
        <v>38</v>
      </c>
      <c r="L652" t="s">
        <v>38</v>
      </c>
    </row>
    <row r="653" spans="2:12">
      <c r="B653" t="s">
        <v>38</v>
      </c>
      <c r="C653">
        <v>1</v>
      </c>
      <c r="H653" t="s">
        <v>38</v>
      </c>
      <c r="I653" t="s">
        <v>38</v>
      </c>
      <c r="J653" t="s">
        <v>38</v>
      </c>
      <c r="K653" t="s">
        <v>38</v>
      </c>
      <c r="L653" t="s">
        <v>38</v>
      </c>
    </row>
    <row r="654" spans="2:12">
      <c r="B654" t="s">
        <v>38</v>
      </c>
      <c r="C654">
        <v>1</v>
      </c>
      <c r="H654" t="s">
        <v>38</v>
      </c>
      <c r="I654" t="s">
        <v>38</v>
      </c>
      <c r="J654" t="s">
        <v>38</v>
      </c>
      <c r="K654" t="s">
        <v>38</v>
      </c>
      <c r="L654" t="s">
        <v>38</v>
      </c>
    </row>
    <row r="655" spans="2:12">
      <c r="B655" t="s">
        <v>38</v>
      </c>
      <c r="C655">
        <v>1</v>
      </c>
      <c r="H655" t="s">
        <v>38</v>
      </c>
      <c r="I655" t="s">
        <v>38</v>
      </c>
      <c r="J655" t="s">
        <v>38</v>
      </c>
      <c r="K655" t="s">
        <v>38</v>
      </c>
      <c r="L655" t="s">
        <v>38</v>
      </c>
    </row>
    <row r="656" spans="2:12">
      <c r="B656" t="s">
        <v>38</v>
      </c>
      <c r="C656">
        <v>1</v>
      </c>
      <c r="H656" t="s">
        <v>38</v>
      </c>
      <c r="I656" t="s">
        <v>38</v>
      </c>
      <c r="J656" t="s">
        <v>38</v>
      </c>
      <c r="K656" t="s">
        <v>38</v>
      </c>
      <c r="L656" t="s">
        <v>38</v>
      </c>
    </row>
    <row r="657" spans="1:16">
      <c r="B657" t="s">
        <v>38</v>
      </c>
      <c r="C657">
        <v>1</v>
      </c>
      <c r="H657" t="s">
        <v>38</v>
      </c>
      <c r="I657" t="s">
        <v>38</v>
      </c>
      <c r="J657" t="s">
        <v>38</v>
      </c>
      <c r="K657" t="s">
        <v>38</v>
      </c>
      <c r="L657" t="s">
        <v>38</v>
      </c>
    </row>
    <row r="658" spans="1:16">
      <c r="B658" t="s">
        <v>38</v>
      </c>
      <c r="C658">
        <v>1</v>
      </c>
      <c r="H658" t="s">
        <v>38</v>
      </c>
      <c r="I658" t="s">
        <v>38</v>
      </c>
      <c r="J658" t="s">
        <v>38</v>
      </c>
      <c r="K658" t="s">
        <v>38</v>
      </c>
      <c r="L658" t="s">
        <v>38</v>
      </c>
    </row>
    <row r="659" spans="1:16">
      <c r="B659" t="s">
        <v>38</v>
      </c>
      <c r="C659">
        <v>1</v>
      </c>
      <c r="H659" t="s">
        <v>38</v>
      </c>
      <c r="I659" t="s">
        <v>38</v>
      </c>
      <c r="J659" t="s">
        <v>38</v>
      </c>
      <c r="K659" t="s">
        <v>38</v>
      </c>
      <c r="L659" t="s">
        <v>38</v>
      </c>
    </row>
    <row r="660" spans="1:16">
      <c r="B660" t="s">
        <v>38</v>
      </c>
      <c r="C660">
        <v>1</v>
      </c>
      <c r="H660" t="s">
        <v>38</v>
      </c>
      <c r="I660" t="s">
        <v>38</v>
      </c>
      <c r="J660" t="s">
        <v>38</v>
      </c>
      <c r="K660" t="s">
        <v>38</v>
      </c>
      <c r="L660" t="s">
        <v>38</v>
      </c>
    </row>
    <row r="663" spans="1:16">
      <c r="A663" t="s">
        <v>83</v>
      </c>
      <c r="B663" t="s">
        <v>242</v>
      </c>
      <c r="C663">
        <v>1</v>
      </c>
      <c r="E663">
        <v>0</v>
      </c>
      <c r="H663" t="s">
        <v>324</v>
      </c>
      <c r="I663" t="s">
        <v>38</v>
      </c>
      <c r="J663" t="s">
        <v>38</v>
      </c>
      <c r="K663" t="s">
        <v>38</v>
      </c>
      <c r="L663" t="s">
        <v>38</v>
      </c>
      <c r="M663" t="s">
        <v>314</v>
      </c>
      <c r="N663" t="s">
        <v>360</v>
      </c>
      <c r="O663">
        <v>42</v>
      </c>
      <c r="P663">
        <v>36436.57</v>
      </c>
    </row>
    <row r="664" spans="1:16">
      <c r="B664" t="s">
        <v>244</v>
      </c>
      <c r="C664">
        <v>1</v>
      </c>
      <c r="E664">
        <v>1</v>
      </c>
      <c r="H664" t="s">
        <v>324</v>
      </c>
      <c r="I664" t="s">
        <v>361</v>
      </c>
      <c r="J664" t="s">
        <v>38</v>
      </c>
      <c r="K664" t="s">
        <v>38</v>
      </c>
      <c r="L664" t="s">
        <v>38</v>
      </c>
      <c r="M664" t="s">
        <v>314</v>
      </c>
      <c r="N664" t="s">
        <v>360</v>
      </c>
    </row>
    <row r="665" spans="1:16">
      <c r="B665" t="s">
        <v>153</v>
      </c>
      <c r="C665">
        <v>1</v>
      </c>
      <c r="E665">
        <v>1</v>
      </c>
      <c r="H665" t="s">
        <v>324</v>
      </c>
      <c r="I665" t="s">
        <v>361</v>
      </c>
      <c r="J665" t="s">
        <v>38</v>
      </c>
      <c r="K665" t="s">
        <v>38</v>
      </c>
      <c r="L665" t="s">
        <v>38</v>
      </c>
      <c r="N665" t="s">
        <v>360</v>
      </c>
    </row>
    <row r="666" spans="1:16">
      <c r="B666" t="s">
        <v>237</v>
      </c>
      <c r="C666">
        <v>1</v>
      </c>
      <c r="E666">
        <v>1</v>
      </c>
      <c r="H666" t="s">
        <v>324</v>
      </c>
      <c r="I666" t="s">
        <v>322</v>
      </c>
      <c r="J666" t="s">
        <v>38</v>
      </c>
      <c r="K666" t="s">
        <v>38</v>
      </c>
      <c r="L666" t="s">
        <v>38</v>
      </c>
      <c r="N666" t="s">
        <v>360</v>
      </c>
    </row>
    <row r="667" spans="1:16">
      <c r="B667" t="s">
        <v>238</v>
      </c>
      <c r="C667">
        <v>1</v>
      </c>
      <c r="E667">
        <v>1</v>
      </c>
      <c r="H667" t="s">
        <v>324</v>
      </c>
      <c r="I667" t="s">
        <v>322</v>
      </c>
      <c r="J667" t="s">
        <v>38</v>
      </c>
      <c r="K667" t="s">
        <v>38</v>
      </c>
      <c r="L667" t="s">
        <v>38</v>
      </c>
      <c r="N667" t="s">
        <v>360</v>
      </c>
    </row>
    <row r="668" spans="1:16">
      <c r="B668" t="s">
        <v>239</v>
      </c>
      <c r="C668">
        <v>1</v>
      </c>
      <c r="E668">
        <v>1</v>
      </c>
      <c r="H668" t="s">
        <v>324</v>
      </c>
      <c r="I668" t="s">
        <v>322</v>
      </c>
      <c r="J668" t="s">
        <v>38</v>
      </c>
      <c r="K668" t="s">
        <v>38</v>
      </c>
      <c r="L668" t="s">
        <v>38</v>
      </c>
      <c r="N668" t="s">
        <v>360</v>
      </c>
    </row>
    <row r="669" spans="1:16">
      <c r="B669" t="s">
        <v>236</v>
      </c>
      <c r="C669">
        <v>1</v>
      </c>
      <c r="E669">
        <v>2</v>
      </c>
      <c r="H669" t="s">
        <v>324</v>
      </c>
      <c r="I669" t="s">
        <v>322</v>
      </c>
      <c r="J669" t="s">
        <v>362</v>
      </c>
      <c r="K669" t="s">
        <v>38</v>
      </c>
      <c r="L669" t="s">
        <v>38</v>
      </c>
      <c r="N669" t="s">
        <v>360</v>
      </c>
    </row>
    <row r="670" spans="1:16">
      <c r="B670" t="s">
        <v>244</v>
      </c>
      <c r="C670">
        <v>1</v>
      </c>
      <c r="E670">
        <v>2</v>
      </c>
      <c r="H670" t="s">
        <v>324</v>
      </c>
      <c r="I670" t="s">
        <v>321</v>
      </c>
      <c r="J670" t="s">
        <v>362</v>
      </c>
      <c r="K670" t="s">
        <v>363</v>
      </c>
      <c r="L670" t="s">
        <v>38</v>
      </c>
      <c r="M670" t="s">
        <v>314</v>
      </c>
      <c r="N670" t="s">
        <v>360</v>
      </c>
    </row>
    <row r="671" spans="1:16">
      <c r="B671" t="s">
        <v>245</v>
      </c>
      <c r="C671">
        <v>1</v>
      </c>
      <c r="E671">
        <v>2</v>
      </c>
      <c r="H671" t="s">
        <v>324</v>
      </c>
      <c r="I671" t="s">
        <v>321</v>
      </c>
      <c r="J671" t="s">
        <v>362</v>
      </c>
      <c r="K671" t="s">
        <v>363</v>
      </c>
      <c r="L671" t="s">
        <v>364</v>
      </c>
      <c r="M671" t="s">
        <v>314</v>
      </c>
      <c r="N671" t="s">
        <v>360</v>
      </c>
    </row>
    <row r="672" spans="1:16">
      <c r="B672" t="s">
        <v>246</v>
      </c>
      <c r="C672">
        <v>1</v>
      </c>
      <c r="E672">
        <v>3</v>
      </c>
      <c r="H672" t="s">
        <v>324</v>
      </c>
      <c r="I672" t="s">
        <v>321</v>
      </c>
      <c r="J672" t="s">
        <v>362</v>
      </c>
      <c r="K672" t="s">
        <v>363</v>
      </c>
      <c r="L672" t="s">
        <v>364</v>
      </c>
      <c r="M672" t="s">
        <v>314</v>
      </c>
      <c r="N672" t="s">
        <v>360</v>
      </c>
    </row>
    <row r="673" spans="2:14">
      <c r="B673" t="s">
        <v>153</v>
      </c>
      <c r="C673">
        <v>1</v>
      </c>
      <c r="E673">
        <v>3</v>
      </c>
      <c r="H673" t="s">
        <v>324</v>
      </c>
      <c r="I673" t="s">
        <v>322</v>
      </c>
      <c r="J673" t="s">
        <v>362</v>
      </c>
      <c r="K673" t="s">
        <v>363</v>
      </c>
      <c r="L673" t="s">
        <v>38</v>
      </c>
      <c r="N673" t="s">
        <v>360</v>
      </c>
    </row>
    <row r="674" spans="2:14">
      <c r="B674" t="s">
        <v>230</v>
      </c>
      <c r="C674">
        <v>1</v>
      </c>
      <c r="E674">
        <v>3</v>
      </c>
      <c r="H674" t="s">
        <v>324</v>
      </c>
      <c r="I674" t="s">
        <v>322</v>
      </c>
      <c r="J674" t="s">
        <v>362</v>
      </c>
      <c r="K674" t="s">
        <v>363</v>
      </c>
      <c r="L674" t="s">
        <v>364</v>
      </c>
      <c r="N674" t="s">
        <v>360</v>
      </c>
    </row>
    <row r="675" spans="2:14">
      <c r="B675" t="s">
        <v>231</v>
      </c>
      <c r="C675">
        <v>1</v>
      </c>
      <c r="E675">
        <v>4</v>
      </c>
      <c r="H675" t="s">
        <v>324</v>
      </c>
      <c r="I675" t="s">
        <v>322</v>
      </c>
      <c r="J675" t="s">
        <v>362</v>
      </c>
      <c r="K675" t="s">
        <v>363</v>
      </c>
      <c r="L675" t="s">
        <v>364</v>
      </c>
      <c r="N675" t="s">
        <v>360</v>
      </c>
    </row>
    <row r="676" spans="2:14">
      <c r="B676" t="s">
        <v>245</v>
      </c>
      <c r="C676">
        <v>1</v>
      </c>
      <c r="E676">
        <v>4</v>
      </c>
      <c r="H676" t="s">
        <v>324</v>
      </c>
      <c r="I676" t="s">
        <v>321</v>
      </c>
      <c r="J676" t="s">
        <v>362</v>
      </c>
      <c r="K676" t="s">
        <v>363</v>
      </c>
      <c r="L676" t="s">
        <v>364</v>
      </c>
      <c r="M676" t="s">
        <v>314</v>
      </c>
      <c r="N676" t="s">
        <v>360</v>
      </c>
    </row>
    <row r="677" spans="2:14">
      <c r="B677" t="s">
        <v>246</v>
      </c>
      <c r="C677">
        <v>1</v>
      </c>
      <c r="E677">
        <v>4</v>
      </c>
      <c r="H677" t="s">
        <v>324</v>
      </c>
      <c r="I677" t="s">
        <v>321</v>
      </c>
      <c r="J677" t="s">
        <v>362</v>
      </c>
      <c r="K677" t="s">
        <v>363</v>
      </c>
      <c r="L677" t="s">
        <v>364</v>
      </c>
      <c r="M677" t="s">
        <v>314</v>
      </c>
      <c r="N677" t="s">
        <v>360</v>
      </c>
    </row>
    <row r="678" spans="2:14">
      <c r="B678" t="s">
        <v>230</v>
      </c>
      <c r="C678">
        <v>1</v>
      </c>
      <c r="E678">
        <v>4</v>
      </c>
      <c r="H678" t="s">
        <v>324</v>
      </c>
      <c r="I678" t="s">
        <v>322</v>
      </c>
      <c r="J678" t="s">
        <v>362</v>
      </c>
      <c r="K678" t="s">
        <v>363</v>
      </c>
      <c r="L678" t="s">
        <v>364</v>
      </c>
      <c r="N678" t="s">
        <v>360</v>
      </c>
    </row>
    <row r="679" spans="2:14">
      <c r="B679" t="s">
        <v>231</v>
      </c>
      <c r="C679">
        <v>1</v>
      </c>
      <c r="E679">
        <v>5</v>
      </c>
      <c r="H679" t="s">
        <v>324</v>
      </c>
      <c r="I679" t="s">
        <v>322</v>
      </c>
      <c r="J679" t="s">
        <v>362</v>
      </c>
      <c r="K679" t="s">
        <v>363</v>
      </c>
      <c r="L679" t="s">
        <v>364</v>
      </c>
      <c r="N679" t="s">
        <v>360</v>
      </c>
    </row>
    <row r="680" spans="2:14">
      <c r="B680" t="s">
        <v>153</v>
      </c>
      <c r="C680">
        <v>1</v>
      </c>
      <c r="E680">
        <v>5</v>
      </c>
      <c r="H680" t="s">
        <v>324</v>
      </c>
      <c r="I680" t="s">
        <v>322</v>
      </c>
      <c r="J680" t="s">
        <v>362</v>
      </c>
      <c r="K680" t="s">
        <v>363</v>
      </c>
      <c r="L680" t="s">
        <v>38</v>
      </c>
      <c r="N680" t="s">
        <v>360</v>
      </c>
    </row>
    <row r="681" spans="2:14">
      <c r="B681" t="s">
        <v>131</v>
      </c>
      <c r="C681">
        <v>1</v>
      </c>
      <c r="E681">
        <v>5</v>
      </c>
      <c r="H681" t="s">
        <v>324</v>
      </c>
      <c r="I681" t="s">
        <v>322</v>
      </c>
      <c r="J681" t="s">
        <v>362</v>
      </c>
      <c r="K681" t="s">
        <v>363</v>
      </c>
      <c r="L681" t="s">
        <v>38</v>
      </c>
      <c r="N681" t="s">
        <v>360</v>
      </c>
    </row>
    <row r="682" spans="2:14">
      <c r="B682" t="s">
        <v>153</v>
      </c>
      <c r="C682">
        <v>1</v>
      </c>
      <c r="E682">
        <v>5</v>
      </c>
      <c r="H682" t="s">
        <v>324</v>
      </c>
      <c r="I682" t="s">
        <v>322</v>
      </c>
      <c r="J682" t="s">
        <v>362</v>
      </c>
      <c r="K682" t="s">
        <v>363</v>
      </c>
      <c r="L682" t="s">
        <v>38</v>
      </c>
      <c r="N682" t="s">
        <v>360</v>
      </c>
    </row>
    <row r="683" spans="2:14">
      <c r="B683" t="s">
        <v>245</v>
      </c>
      <c r="C683">
        <v>1</v>
      </c>
      <c r="E683">
        <v>5</v>
      </c>
      <c r="H683" t="s">
        <v>324</v>
      </c>
      <c r="I683" t="s">
        <v>321</v>
      </c>
      <c r="J683" t="s">
        <v>362</v>
      </c>
      <c r="K683" t="s">
        <v>363</v>
      </c>
      <c r="L683" t="s">
        <v>364</v>
      </c>
      <c r="M683" t="s">
        <v>314</v>
      </c>
      <c r="N683" t="s">
        <v>360</v>
      </c>
    </row>
    <row r="684" spans="2:14">
      <c r="B684" t="s">
        <v>246</v>
      </c>
      <c r="C684">
        <v>1</v>
      </c>
      <c r="E684">
        <v>5</v>
      </c>
      <c r="H684" t="s">
        <v>324</v>
      </c>
      <c r="I684" t="s">
        <v>321</v>
      </c>
      <c r="J684" t="s">
        <v>362</v>
      </c>
      <c r="K684" t="s">
        <v>363</v>
      </c>
      <c r="L684" t="s">
        <v>364</v>
      </c>
      <c r="M684" t="s">
        <v>314</v>
      </c>
      <c r="N684" t="s">
        <v>360</v>
      </c>
    </row>
    <row r="685" spans="2:14">
      <c r="B685" t="s">
        <v>230</v>
      </c>
      <c r="C685">
        <v>1</v>
      </c>
      <c r="E685">
        <v>5</v>
      </c>
      <c r="H685" t="s">
        <v>324</v>
      </c>
      <c r="I685" t="s">
        <v>322</v>
      </c>
      <c r="J685" t="s">
        <v>362</v>
      </c>
      <c r="K685" t="s">
        <v>363</v>
      </c>
      <c r="L685" t="s">
        <v>364</v>
      </c>
      <c r="N685" t="s">
        <v>360</v>
      </c>
    </row>
    <row r="686" spans="2:14">
      <c r="B686" t="s">
        <v>231</v>
      </c>
      <c r="C686">
        <v>1</v>
      </c>
      <c r="E686">
        <v>5</v>
      </c>
      <c r="H686" t="s">
        <v>324</v>
      </c>
      <c r="I686" t="s">
        <v>322</v>
      </c>
      <c r="J686" t="s">
        <v>362</v>
      </c>
      <c r="K686" t="s">
        <v>363</v>
      </c>
      <c r="L686" t="s">
        <v>364</v>
      </c>
      <c r="N686" t="s">
        <v>360</v>
      </c>
    </row>
    <row r="687" spans="2:14">
      <c r="B687" t="s">
        <v>245</v>
      </c>
      <c r="C687">
        <v>1</v>
      </c>
      <c r="E687">
        <v>5</v>
      </c>
      <c r="H687" t="s">
        <v>324</v>
      </c>
      <c r="I687" t="s">
        <v>38</v>
      </c>
      <c r="J687" t="s">
        <v>38</v>
      </c>
      <c r="K687" t="s">
        <v>363</v>
      </c>
      <c r="L687" t="s">
        <v>364</v>
      </c>
      <c r="M687" t="s">
        <v>314</v>
      </c>
      <c r="N687" t="s">
        <v>360</v>
      </c>
    </row>
    <row r="688" spans="2:14">
      <c r="B688" t="s">
        <v>246</v>
      </c>
      <c r="C688">
        <v>1</v>
      </c>
      <c r="E688">
        <v>5</v>
      </c>
      <c r="H688" t="s">
        <v>324</v>
      </c>
      <c r="I688" t="s">
        <v>38</v>
      </c>
      <c r="J688" t="s">
        <v>38</v>
      </c>
      <c r="K688" t="s">
        <v>363</v>
      </c>
      <c r="L688" t="s">
        <v>38</v>
      </c>
      <c r="M688" t="s">
        <v>314</v>
      </c>
      <c r="N688" t="s">
        <v>360</v>
      </c>
    </row>
    <row r="689" spans="2:14">
      <c r="B689" t="s">
        <v>153</v>
      </c>
      <c r="C689">
        <v>1</v>
      </c>
      <c r="E689">
        <v>5</v>
      </c>
      <c r="H689" t="s">
        <v>324</v>
      </c>
      <c r="I689" t="s">
        <v>38</v>
      </c>
      <c r="J689" t="s">
        <v>38</v>
      </c>
      <c r="K689" t="s">
        <v>363</v>
      </c>
      <c r="L689" t="s">
        <v>38</v>
      </c>
      <c r="N689" t="s">
        <v>360</v>
      </c>
    </row>
    <row r="690" spans="2:14">
      <c r="B690" t="s">
        <v>230</v>
      </c>
      <c r="C690">
        <v>1</v>
      </c>
      <c r="E690">
        <v>5</v>
      </c>
      <c r="H690" t="s">
        <v>324</v>
      </c>
      <c r="I690" t="s">
        <v>38</v>
      </c>
      <c r="J690" t="s">
        <v>38</v>
      </c>
      <c r="K690" t="s">
        <v>363</v>
      </c>
      <c r="L690" t="s">
        <v>38</v>
      </c>
      <c r="N690" t="s">
        <v>360</v>
      </c>
    </row>
    <row r="691" spans="2:14">
      <c r="B691" t="s">
        <v>231</v>
      </c>
      <c r="C691">
        <v>1</v>
      </c>
      <c r="E691">
        <v>5</v>
      </c>
      <c r="H691" t="s">
        <v>324</v>
      </c>
      <c r="I691" t="s">
        <v>38</v>
      </c>
      <c r="J691" t="s">
        <v>38</v>
      </c>
      <c r="K691" t="s">
        <v>363</v>
      </c>
      <c r="L691" t="s">
        <v>38</v>
      </c>
      <c r="N691" t="s">
        <v>360</v>
      </c>
    </row>
    <row r="692" spans="2:14">
      <c r="B692" t="s">
        <v>226</v>
      </c>
      <c r="C692">
        <v>1</v>
      </c>
      <c r="E692">
        <v>5</v>
      </c>
      <c r="H692" t="s">
        <v>324</v>
      </c>
      <c r="I692" t="s">
        <v>38</v>
      </c>
      <c r="J692" t="s">
        <v>38</v>
      </c>
      <c r="K692" t="s">
        <v>363</v>
      </c>
      <c r="L692" t="s">
        <v>38</v>
      </c>
      <c r="N692" t="s">
        <v>360</v>
      </c>
    </row>
    <row r="693" spans="2:14">
      <c r="B693" t="s">
        <v>247</v>
      </c>
      <c r="C693">
        <v>1</v>
      </c>
      <c r="E693">
        <v>5</v>
      </c>
      <c r="H693" t="s">
        <v>324</v>
      </c>
      <c r="I693" t="s">
        <v>38</v>
      </c>
      <c r="J693" t="s">
        <v>38</v>
      </c>
      <c r="K693" t="s">
        <v>38</v>
      </c>
      <c r="L693" t="s">
        <v>38</v>
      </c>
      <c r="M693" t="s">
        <v>314</v>
      </c>
      <c r="N693" t="s">
        <v>360</v>
      </c>
    </row>
    <row r="694" spans="2:14">
      <c r="B694" t="s">
        <v>146</v>
      </c>
      <c r="C694">
        <v>1</v>
      </c>
      <c r="E694">
        <v>5</v>
      </c>
      <c r="H694" t="s">
        <v>324</v>
      </c>
      <c r="I694" t="s">
        <v>38</v>
      </c>
      <c r="J694" t="s">
        <v>38</v>
      </c>
      <c r="K694" t="s">
        <v>38</v>
      </c>
      <c r="L694" t="s">
        <v>38</v>
      </c>
      <c r="N694" t="s">
        <v>360</v>
      </c>
    </row>
    <row r="695" spans="2:14">
      <c r="B695" t="s">
        <v>153</v>
      </c>
      <c r="C695">
        <v>1</v>
      </c>
      <c r="E695">
        <v>5</v>
      </c>
      <c r="H695" t="s">
        <v>324</v>
      </c>
      <c r="I695" t="s">
        <v>38</v>
      </c>
      <c r="J695" t="s">
        <v>38</v>
      </c>
      <c r="K695" t="s">
        <v>38</v>
      </c>
      <c r="L695" t="s">
        <v>38</v>
      </c>
      <c r="N695" t="s">
        <v>360</v>
      </c>
    </row>
    <row r="696" spans="2:14">
      <c r="B696" t="s">
        <v>148</v>
      </c>
      <c r="C696">
        <v>1</v>
      </c>
      <c r="E696">
        <v>5</v>
      </c>
      <c r="H696" t="s">
        <v>38</v>
      </c>
      <c r="I696" t="s">
        <v>38</v>
      </c>
      <c r="J696" t="s">
        <v>38</v>
      </c>
      <c r="K696" t="s">
        <v>38</v>
      </c>
      <c r="L696" t="s">
        <v>38</v>
      </c>
      <c r="N696" t="s">
        <v>360</v>
      </c>
    </row>
    <row r="697" spans="2:14">
      <c r="B697" t="s">
        <v>248</v>
      </c>
      <c r="C697">
        <v>1</v>
      </c>
      <c r="E697">
        <v>5</v>
      </c>
      <c r="H697" t="s">
        <v>38</v>
      </c>
      <c r="I697" t="s">
        <v>38</v>
      </c>
      <c r="J697" t="s">
        <v>38</v>
      </c>
      <c r="K697" t="s">
        <v>38</v>
      </c>
      <c r="L697" t="s">
        <v>38</v>
      </c>
      <c r="N697" t="s">
        <v>360</v>
      </c>
    </row>
    <row r="698" spans="2:14">
      <c r="B698" t="s">
        <v>234</v>
      </c>
      <c r="C698">
        <v>1</v>
      </c>
      <c r="E698">
        <v>5</v>
      </c>
      <c r="H698" t="s">
        <v>38</v>
      </c>
      <c r="I698" t="s">
        <v>38</v>
      </c>
      <c r="J698" t="s">
        <v>38</v>
      </c>
      <c r="K698" t="s">
        <v>38</v>
      </c>
      <c r="L698" t="s">
        <v>38</v>
      </c>
      <c r="N698" t="s">
        <v>360</v>
      </c>
    </row>
    <row r="699" spans="2:14">
      <c r="B699" t="s">
        <v>242</v>
      </c>
      <c r="C699">
        <v>1</v>
      </c>
      <c r="E699">
        <v>5</v>
      </c>
      <c r="H699" t="s">
        <v>38</v>
      </c>
      <c r="I699" t="s">
        <v>38</v>
      </c>
      <c r="J699" t="s">
        <v>38</v>
      </c>
      <c r="K699" t="s">
        <v>38</v>
      </c>
      <c r="L699" t="s">
        <v>38</v>
      </c>
      <c r="M699" t="s">
        <v>314</v>
      </c>
      <c r="N699" t="s">
        <v>360</v>
      </c>
    </row>
    <row r="700" spans="2:14">
      <c r="B700" t="s">
        <v>244</v>
      </c>
      <c r="C700">
        <v>1</v>
      </c>
      <c r="E700">
        <v>5</v>
      </c>
      <c r="G700">
        <v>1</v>
      </c>
      <c r="H700" t="s">
        <v>38</v>
      </c>
      <c r="I700" t="s">
        <v>361</v>
      </c>
      <c r="J700" t="s">
        <v>38</v>
      </c>
      <c r="K700" t="s">
        <v>38</v>
      </c>
      <c r="L700" t="s">
        <v>38</v>
      </c>
      <c r="M700" t="s">
        <v>314</v>
      </c>
      <c r="N700" t="s">
        <v>360</v>
      </c>
    </row>
    <row r="701" spans="2:14">
      <c r="B701" t="s">
        <v>240</v>
      </c>
      <c r="C701">
        <v>1</v>
      </c>
      <c r="E701">
        <v>5</v>
      </c>
      <c r="G701">
        <v>1</v>
      </c>
      <c r="H701" t="s">
        <v>38</v>
      </c>
      <c r="I701" t="s">
        <v>322</v>
      </c>
      <c r="J701" t="s">
        <v>38</v>
      </c>
      <c r="K701" t="s">
        <v>38</v>
      </c>
      <c r="L701" t="s">
        <v>38</v>
      </c>
      <c r="N701" t="s">
        <v>360</v>
      </c>
    </row>
    <row r="702" spans="2:14">
      <c r="B702" t="s">
        <v>237</v>
      </c>
      <c r="C702">
        <v>1</v>
      </c>
      <c r="E702">
        <v>5</v>
      </c>
      <c r="G702">
        <v>1</v>
      </c>
      <c r="H702" t="s">
        <v>38</v>
      </c>
      <c r="I702" t="s">
        <v>322</v>
      </c>
      <c r="J702" t="s">
        <v>38</v>
      </c>
      <c r="K702" t="s">
        <v>38</v>
      </c>
      <c r="L702" t="s">
        <v>38</v>
      </c>
      <c r="N702" t="s">
        <v>360</v>
      </c>
    </row>
    <row r="703" spans="2:14">
      <c r="B703" t="s">
        <v>131</v>
      </c>
      <c r="C703">
        <v>1</v>
      </c>
      <c r="E703">
        <v>5</v>
      </c>
      <c r="G703">
        <v>1</v>
      </c>
      <c r="H703" t="s">
        <v>38</v>
      </c>
      <c r="I703" t="s">
        <v>322</v>
      </c>
      <c r="J703" t="s">
        <v>38</v>
      </c>
      <c r="K703" t="s">
        <v>38</v>
      </c>
      <c r="L703" t="s">
        <v>38</v>
      </c>
      <c r="N703" t="s">
        <v>360</v>
      </c>
    </row>
    <row r="704" spans="2:14">
      <c r="B704" t="s">
        <v>38</v>
      </c>
      <c r="C704">
        <v>1</v>
      </c>
      <c r="E704">
        <v>5</v>
      </c>
      <c r="G704">
        <v>1</v>
      </c>
      <c r="H704" t="s">
        <v>38</v>
      </c>
      <c r="I704" t="s">
        <v>38</v>
      </c>
      <c r="J704" t="s">
        <v>38</v>
      </c>
      <c r="K704" t="s">
        <v>38</v>
      </c>
      <c r="L704" t="s">
        <v>38</v>
      </c>
      <c r="N704" t="s">
        <v>360</v>
      </c>
    </row>
    <row r="705" spans="2:14">
      <c r="B705" t="s">
        <v>238</v>
      </c>
      <c r="C705">
        <v>1</v>
      </c>
      <c r="E705">
        <v>5</v>
      </c>
      <c r="G705">
        <v>1</v>
      </c>
      <c r="H705" t="s">
        <v>38</v>
      </c>
      <c r="I705" t="s">
        <v>322</v>
      </c>
      <c r="J705" t="s">
        <v>38</v>
      </c>
      <c r="K705" t="s">
        <v>38</v>
      </c>
      <c r="L705" t="s">
        <v>38</v>
      </c>
      <c r="N705" t="s">
        <v>360</v>
      </c>
    </row>
    <row r="706" spans="2:14">
      <c r="B706" t="s">
        <v>239</v>
      </c>
      <c r="C706">
        <v>1</v>
      </c>
      <c r="E706">
        <v>5</v>
      </c>
      <c r="G706">
        <v>1</v>
      </c>
      <c r="H706" t="s">
        <v>38</v>
      </c>
      <c r="I706" t="s">
        <v>322</v>
      </c>
      <c r="J706" t="s">
        <v>38</v>
      </c>
      <c r="K706" t="s">
        <v>38</v>
      </c>
      <c r="L706" t="s">
        <v>38</v>
      </c>
      <c r="N706" t="s">
        <v>360</v>
      </c>
    </row>
    <row r="707" spans="2:14">
      <c r="B707" t="s">
        <v>242</v>
      </c>
      <c r="C707">
        <v>1</v>
      </c>
      <c r="D707">
        <v>1</v>
      </c>
      <c r="E707">
        <v>5</v>
      </c>
      <c r="F707">
        <v>5</v>
      </c>
      <c r="G707">
        <v>1</v>
      </c>
      <c r="H707" t="s">
        <v>38</v>
      </c>
      <c r="I707" t="s">
        <v>322</v>
      </c>
      <c r="J707" t="s">
        <v>362</v>
      </c>
      <c r="K707" t="s">
        <v>38</v>
      </c>
      <c r="L707" t="s">
        <v>38</v>
      </c>
      <c r="M707" t="s">
        <v>314</v>
      </c>
      <c r="N707" t="s">
        <v>360</v>
      </c>
    </row>
    <row r="708" spans="2:14">
      <c r="B708" t="s">
        <v>244</v>
      </c>
      <c r="C708">
        <v>1</v>
      </c>
      <c r="D708">
        <v>1</v>
      </c>
      <c r="E708">
        <v>5</v>
      </c>
      <c r="F708">
        <v>5</v>
      </c>
      <c r="G708">
        <v>1</v>
      </c>
      <c r="H708" t="s">
        <v>38</v>
      </c>
      <c r="I708" t="s">
        <v>321</v>
      </c>
      <c r="J708" t="s">
        <v>362</v>
      </c>
      <c r="K708" t="s">
        <v>38</v>
      </c>
      <c r="L708" t="s">
        <v>38</v>
      </c>
      <c r="M708" t="s">
        <v>314</v>
      </c>
      <c r="N708" t="s">
        <v>360</v>
      </c>
    </row>
    <row r="709" spans="2:14">
      <c r="B709" t="s">
        <v>236</v>
      </c>
      <c r="C709">
        <v>1</v>
      </c>
      <c r="D709">
        <v>1</v>
      </c>
      <c r="E709">
        <v>5</v>
      </c>
      <c r="F709">
        <v>5</v>
      </c>
      <c r="G709">
        <v>1</v>
      </c>
      <c r="H709" t="s">
        <v>38</v>
      </c>
      <c r="I709" t="s">
        <v>322</v>
      </c>
      <c r="J709" t="s">
        <v>362</v>
      </c>
      <c r="K709" t="s">
        <v>38</v>
      </c>
      <c r="L709" t="s">
        <v>38</v>
      </c>
      <c r="N709" t="s">
        <v>360</v>
      </c>
    </row>
    <row r="710" spans="2:14">
      <c r="B710" t="s">
        <v>244</v>
      </c>
      <c r="C710">
        <v>1</v>
      </c>
      <c r="D710">
        <v>1</v>
      </c>
      <c r="E710">
        <v>5</v>
      </c>
      <c r="F710">
        <v>5</v>
      </c>
      <c r="G710">
        <v>1</v>
      </c>
      <c r="H710" t="s">
        <v>38</v>
      </c>
      <c r="I710" t="s">
        <v>321</v>
      </c>
      <c r="J710" t="s">
        <v>362</v>
      </c>
      <c r="K710" t="s">
        <v>363</v>
      </c>
      <c r="L710" t="s">
        <v>38</v>
      </c>
      <c r="M710" t="s">
        <v>314</v>
      </c>
      <c r="N710" t="s">
        <v>360</v>
      </c>
    </row>
    <row r="711" spans="2:14">
      <c r="B711" t="s">
        <v>245</v>
      </c>
      <c r="C711">
        <v>1</v>
      </c>
      <c r="D711">
        <v>1</v>
      </c>
      <c r="E711">
        <v>5</v>
      </c>
      <c r="F711">
        <v>5</v>
      </c>
      <c r="G711">
        <v>1</v>
      </c>
      <c r="H711" t="s">
        <v>38</v>
      </c>
      <c r="I711" t="s">
        <v>321</v>
      </c>
      <c r="J711" t="s">
        <v>362</v>
      </c>
      <c r="K711" t="s">
        <v>363</v>
      </c>
      <c r="L711" t="s">
        <v>38</v>
      </c>
      <c r="M711" t="s">
        <v>314</v>
      </c>
      <c r="N711" t="s">
        <v>360</v>
      </c>
    </row>
    <row r="712" spans="2:14">
      <c r="B712" t="s">
        <v>246</v>
      </c>
      <c r="C712">
        <v>1</v>
      </c>
      <c r="D712">
        <v>1</v>
      </c>
      <c r="E712">
        <v>5</v>
      </c>
      <c r="F712">
        <v>5</v>
      </c>
      <c r="G712">
        <v>1</v>
      </c>
      <c r="H712" t="s">
        <v>38</v>
      </c>
      <c r="I712" t="s">
        <v>321</v>
      </c>
      <c r="J712" t="s">
        <v>362</v>
      </c>
      <c r="K712" t="s">
        <v>363</v>
      </c>
      <c r="L712" t="s">
        <v>364</v>
      </c>
      <c r="M712" t="s">
        <v>314</v>
      </c>
      <c r="N712" t="s">
        <v>360</v>
      </c>
    </row>
    <row r="713" spans="2:14">
      <c r="B713" t="s">
        <v>230</v>
      </c>
      <c r="C713">
        <v>1</v>
      </c>
      <c r="D713">
        <v>1</v>
      </c>
      <c r="E713">
        <v>5</v>
      </c>
      <c r="F713">
        <v>5</v>
      </c>
      <c r="G713">
        <v>1</v>
      </c>
      <c r="H713" t="s">
        <v>38</v>
      </c>
      <c r="I713" t="s">
        <v>322</v>
      </c>
      <c r="J713" t="s">
        <v>362</v>
      </c>
      <c r="K713" t="s">
        <v>363</v>
      </c>
      <c r="L713" t="s">
        <v>364</v>
      </c>
      <c r="N713" t="s">
        <v>360</v>
      </c>
    </row>
    <row r="714" spans="2:14">
      <c r="B714" t="s">
        <v>231</v>
      </c>
      <c r="C714">
        <v>1</v>
      </c>
      <c r="D714">
        <v>1</v>
      </c>
      <c r="E714">
        <v>5</v>
      </c>
      <c r="F714">
        <v>5</v>
      </c>
      <c r="G714">
        <v>1</v>
      </c>
      <c r="H714" t="s">
        <v>38</v>
      </c>
      <c r="I714" t="s">
        <v>322</v>
      </c>
      <c r="J714" t="s">
        <v>362</v>
      </c>
      <c r="K714" t="s">
        <v>363</v>
      </c>
      <c r="L714" t="s">
        <v>364</v>
      </c>
      <c r="N714" t="s">
        <v>360</v>
      </c>
    </row>
    <row r="715" spans="2:14">
      <c r="B715" t="s">
        <v>245</v>
      </c>
      <c r="C715">
        <v>1</v>
      </c>
      <c r="D715">
        <v>1</v>
      </c>
      <c r="E715">
        <v>5</v>
      </c>
      <c r="F715">
        <v>5</v>
      </c>
      <c r="G715">
        <v>1</v>
      </c>
      <c r="H715" t="s">
        <v>38</v>
      </c>
      <c r="I715" t="s">
        <v>321</v>
      </c>
      <c r="J715" t="s">
        <v>362</v>
      </c>
      <c r="K715" t="s">
        <v>363</v>
      </c>
      <c r="L715" t="s">
        <v>364</v>
      </c>
      <c r="M715" t="s">
        <v>314</v>
      </c>
      <c r="N715" t="s">
        <v>360</v>
      </c>
    </row>
    <row r="716" spans="2:14">
      <c r="B716" t="s">
        <v>246</v>
      </c>
      <c r="C716">
        <v>1</v>
      </c>
      <c r="D716">
        <v>1</v>
      </c>
      <c r="E716">
        <v>5</v>
      </c>
      <c r="F716">
        <v>5</v>
      </c>
      <c r="G716">
        <v>1</v>
      </c>
      <c r="H716" t="s">
        <v>38</v>
      </c>
      <c r="I716" t="s">
        <v>321</v>
      </c>
      <c r="J716" t="s">
        <v>38</v>
      </c>
      <c r="K716" t="s">
        <v>363</v>
      </c>
      <c r="L716" t="s">
        <v>364</v>
      </c>
      <c r="M716" t="s">
        <v>314</v>
      </c>
      <c r="N716" t="s">
        <v>360</v>
      </c>
    </row>
    <row r="717" spans="2:14">
      <c r="B717" t="s">
        <v>230</v>
      </c>
      <c r="C717">
        <v>1</v>
      </c>
      <c r="D717">
        <v>1</v>
      </c>
      <c r="E717">
        <v>5</v>
      </c>
      <c r="F717">
        <v>5</v>
      </c>
      <c r="G717">
        <v>1</v>
      </c>
      <c r="H717" t="s">
        <v>38</v>
      </c>
      <c r="I717" t="s">
        <v>322</v>
      </c>
      <c r="J717" t="s">
        <v>38</v>
      </c>
      <c r="K717" t="s">
        <v>363</v>
      </c>
      <c r="L717" t="s">
        <v>364</v>
      </c>
      <c r="N717" t="s">
        <v>360</v>
      </c>
    </row>
    <row r="718" spans="2:14">
      <c r="B718" t="s">
        <v>231</v>
      </c>
      <c r="C718">
        <v>1</v>
      </c>
      <c r="D718">
        <v>1</v>
      </c>
      <c r="E718">
        <v>5</v>
      </c>
      <c r="F718">
        <v>5</v>
      </c>
      <c r="G718">
        <v>1</v>
      </c>
      <c r="H718" t="s">
        <v>38</v>
      </c>
      <c r="I718" t="s">
        <v>322</v>
      </c>
      <c r="J718" t="s">
        <v>38</v>
      </c>
      <c r="K718" t="s">
        <v>363</v>
      </c>
      <c r="L718" t="s">
        <v>364</v>
      </c>
      <c r="N718" t="s">
        <v>360</v>
      </c>
    </row>
    <row r="719" spans="2:14">
      <c r="B719" t="s">
        <v>131</v>
      </c>
      <c r="C719">
        <v>1</v>
      </c>
      <c r="D719">
        <v>1</v>
      </c>
      <c r="E719">
        <v>5</v>
      </c>
      <c r="F719">
        <v>5</v>
      </c>
      <c r="G719">
        <v>1</v>
      </c>
      <c r="H719" t="s">
        <v>38</v>
      </c>
      <c r="I719" t="s">
        <v>322</v>
      </c>
      <c r="J719" t="s">
        <v>38</v>
      </c>
      <c r="K719" t="s">
        <v>363</v>
      </c>
      <c r="L719" t="s">
        <v>38</v>
      </c>
      <c r="N719" t="s">
        <v>360</v>
      </c>
    </row>
    <row r="720" spans="2:14">
      <c r="B720" t="s">
        <v>226</v>
      </c>
      <c r="C720">
        <v>1</v>
      </c>
      <c r="D720">
        <v>1</v>
      </c>
      <c r="E720">
        <v>5</v>
      </c>
      <c r="F720">
        <v>5</v>
      </c>
      <c r="G720">
        <v>1</v>
      </c>
      <c r="H720" t="s">
        <v>38</v>
      </c>
      <c r="I720" t="s">
        <v>322</v>
      </c>
      <c r="J720" t="s">
        <v>38</v>
      </c>
      <c r="K720" t="s">
        <v>363</v>
      </c>
      <c r="L720" t="s">
        <v>38</v>
      </c>
      <c r="N720" t="s">
        <v>360</v>
      </c>
    </row>
    <row r="721" spans="2:14">
      <c r="B721" t="s">
        <v>247</v>
      </c>
      <c r="C721">
        <v>1</v>
      </c>
      <c r="D721">
        <v>1</v>
      </c>
      <c r="E721">
        <v>5</v>
      </c>
      <c r="F721">
        <v>5</v>
      </c>
      <c r="G721">
        <v>1</v>
      </c>
      <c r="H721" t="s">
        <v>38</v>
      </c>
      <c r="I721" t="s">
        <v>321</v>
      </c>
      <c r="J721" t="s">
        <v>38</v>
      </c>
      <c r="K721" t="s">
        <v>363</v>
      </c>
      <c r="L721" t="s">
        <v>38</v>
      </c>
      <c r="M721" t="s">
        <v>314</v>
      </c>
      <c r="N721" t="s">
        <v>360</v>
      </c>
    </row>
    <row r="722" spans="2:14">
      <c r="B722" t="s">
        <v>146</v>
      </c>
      <c r="C722">
        <v>1</v>
      </c>
      <c r="E722">
        <v>5</v>
      </c>
      <c r="F722">
        <v>5</v>
      </c>
      <c r="H722" t="s">
        <v>38</v>
      </c>
      <c r="I722" t="s">
        <v>322</v>
      </c>
      <c r="J722" t="s">
        <v>38</v>
      </c>
      <c r="K722" t="s">
        <v>363</v>
      </c>
      <c r="L722" t="s">
        <v>38</v>
      </c>
      <c r="N722" t="s">
        <v>360</v>
      </c>
    </row>
    <row r="723" spans="2:14">
      <c r="B723" t="s">
        <v>148</v>
      </c>
      <c r="C723">
        <v>1</v>
      </c>
      <c r="E723">
        <v>5</v>
      </c>
      <c r="F723">
        <v>5</v>
      </c>
      <c r="H723" t="s">
        <v>38</v>
      </c>
      <c r="I723" t="s">
        <v>322</v>
      </c>
      <c r="J723" t="s">
        <v>38</v>
      </c>
      <c r="K723" t="s">
        <v>363</v>
      </c>
      <c r="L723" t="s">
        <v>38</v>
      </c>
      <c r="N723" t="s">
        <v>360</v>
      </c>
    </row>
    <row r="724" spans="2:14">
      <c r="B724" t="s">
        <v>149</v>
      </c>
      <c r="C724">
        <v>2</v>
      </c>
      <c r="E724">
        <v>5</v>
      </c>
      <c r="F724">
        <v>5</v>
      </c>
      <c r="H724" t="s">
        <v>38</v>
      </c>
      <c r="I724" t="s">
        <v>322</v>
      </c>
      <c r="J724" t="s">
        <v>38</v>
      </c>
      <c r="K724" t="s">
        <v>363</v>
      </c>
      <c r="L724" t="s">
        <v>38</v>
      </c>
      <c r="N724" t="s">
        <v>360</v>
      </c>
    </row>
    <row r="725" spans="2:14">
      <c r="B725" t="s">
        <v>137</v>
      </c>
      <c r="C725">
        <v>1</v>
      </c>
      <c r="E725">
        <v>5</v>
      </c>
      <c r="F725">
        <v>5</v>
      </c>
      <c r="H725" t="s">
        <v>38</v>
      </c>
      <c r="I725" t="s">
        <v>38</v>
      </c>
      <c r="J725" t="s">
        <v>38</v>
      </c>
      <c r="K725" t="s">
        <v>38</v>
      </c>
      <c r="L725" t="s">
        <v>38</v>
      </c>
      <c r="N725" t="s">
        <v>360</v>
      </c>
    </row>
    <row r="726" spans="2:14">
      <c r="B726" t="s">
        <v>38</v>
      </c>
      <c r="C726">
        <v>1</v>
      </c>
      <c r="H726" t="s">
        <v>38</v>
      </c>
      <c r="I726" t="s">
        <v>38</v>
      </c>
      <c r="J726" t="s">
        <v>38</v>
      </c>
      <c r="K726" t="s">
        <v>38</v>
      </c>
      <c r="L726" t="s">
        <v>38</v>
      </c>
      <c r="N726" t="s">
        <v>360</v>
      </c>
    </row>
    <row r="727" spans="2:14">
      <c r="B727" t="s">
        <v>38</v>
      </c>
      <c r="C727">
        <v>1</v>
      </c>
      <c r="H727" t="s">
        <v>38</v>
      </c>
      <c r="I727" t="s">
        <v>38</v>
      </c>
      <c r="J727" t="s">
        <v>38</v>
      </c>
      <c r="K727" t="s">
        <v>38</v>
      </c>
      <c r="L727" t="s">
        <v>38</v>
      </c>
      <c r="N727" t="s">
        <v>360</v>
      </c>
    </row>
    <row r="728" spans="2:14">
      <c r="B728" t="s">
        <v>38</v>
      </c>
      <c r="C728">
        <v>1</v>
      </c>
      <c r="H728" t="s">
        <v>38</v>
      </c>
      <c r="I728" t="s">
        <v>38</v>
      </c>
      <c r="J728" t="s">
        <v>38</v>
      </c>
      <c r="K728" t="s">
        <v>38</v>
      </c>
      <c r="L728" t="s">
        <v>38</v>
      </c>
      <c r="N728" t="s">
        <v>360</v>
      </c>
    </row>
    <row r="729" spans="2:14">
      <c r="B729" t="s">
        <v>38</v>
      </c>
      <c r="C729">
        <v>1</v>
      </c>
      <c r="H729" t="s">
        <v>38</v>
      </c>
      <c r="I729" t="s">
        <v>38</v>
      </c>
      <c r="J729" t="s">
        <v>38</v>
      </c>
      <c r="K729" t="s">
        <v>38</v>
      </c>
      <c r="L729" t="s">
        <v>38</v>
      </c>
      <c r="N729" t="s">
        <v>360</v>
      </c>
    </row>
    <row r="730" spans="2:14">
      <c r="B730" t="s">
        <v>127</v>
      </c>
      <c r="C730">
        <v>17</v>
      </c>
      <c r="E730">
        <v>5</v>
      </c>
      <c r="H730" t="s">
        <v>38</v>
      </c>
      <c r="I730" t="s">
        <v>38</v>
      </c>
      <c r="J730" t="s">
        <v>38</v>
      </c>
      <c r="K730" t="s">
        <v>38</v>
      </c>
      <c r="L730" t="s">
        <v>38</v>
      </c>
      <c r="N730" t="s">
        <v>360</v>
      </c>
    </row>
    <row r="731" spans="2:14">
      <c r="B731" t="s">
        <v>128</v>
      </c>
      <c r="C731">
        <v>17</v>
      </c>
      <c r="E731">
        <v>5</v>
      </c>
      <c r="H731" t="s">
        <v>38</v>
      </c>
      <c r="I731" t="s">
        <v>38</v>
      </c>
      <c r="J731" t="s">
        <v>38</v>
      </c>
      <c r="K731" t="s">
        <v>38</v>
      </c>
      <c r="L731" t="s">
        <v>38</v>
      </c>
      <c r="N731" t="s">
        <v>360</v>
      </c>
    </row>
    <row r="732" spans="2:14">
      <c r="B732" t="s">
        <v>127</v>
      </c>
      <c r="C732">
        <v>25</v>
      </c>
      <c r="E732">
        <v>5</v>
      </c>
      <c r="H732" t="s">
        <v>38</v>
      </c>
      <c r="I732" t="s">
        <v>322</v>
      </c>
      <c r="J732" t="s">
        <v>362</v>
      </c>
      <c r="K732" t="s">
        <v>363</v>
      </c>
      <c r="L732" t="s">
        <v>38</v>
      </c>
      <c r="N732" t="s">
        <v>360</v>
      </c>
    </row>
    <row r="733" spans="2:14">
      <c r="B733" t="s">
        <v>128</v>
      </c>
      <c r="C733">
        <v>25</v>
      </c>
      <c r="E733">
        <v>5</v>
      </c>
      <c r="H733" t="s">
        <v>38</v>
      </c>
      <c r="I733" t="s">
        <v>322</v>
      </c>
      <c r="J733" t="s">
        <v>362</v>
      </c>
      <c r="K733" t="s">
        <v>363</v>
      </c>
      <c r="L733" t="s">
        <v>38</v>
      </c>
      <c r="N733" t="s">
        <v>360</v>
      </c>
    </row>
    <row r="734" spans="2:14">
      <c r="B734" t="s">
        <v>63</v>
      </c>
      <c r="C734">
        <v>5</v>
      </c>
      <c r="E734">
        <v>5</v>
      </c>
      <c r="H734" t="s">
        <v>38</v>
      </c>
      <c r="I734" t="s">
        <v>322</v>
      </c>
      <c r="J734" t="s">
        <v>38</v>
      </c>
      <c r="K734" t="s">
        <v>38</v>
      </c>
      <c r="L734" t="s">
        <v>38</v>
      </c>
      <c r="N734" t="s">
        <v>360</v>
      </c>
    </row>
    <row r="735" spans="2:14">
      <c r="B735" t="s">
        <v>38</v>
      </c>
      <c r="C735">
        <v>1</v>
      </c>
      <c r="H735" t="s">
        <v>38</v>
      </c>
      <c r="I735" t="s">
        <v>38</v>
      </c>
      <c r="J735" t="s">
        <v>38</v>
      </c>
      <c r="K735" t="s">
        <v>38</v>
      </c>
      <c r="L735" t="s">
        <v>38</v>
      </c>
    </row>
    <row r="736" spans="2:14">
      <c r="B736" t="s">
        <v>38</v>
      </c>
      <c r="C736">
        <v>1</v>
      </c>
      <c r="H736" t="s">
        <v>38</v>
      </c>
      <c r="I736" t="s">
        <v>38</v>
      </c>
      <c r="J736" t="s">
        <v>38</v>
      </c>
      <c r="K736" t="s">
        <v>38</v>
      </c>
      <c r="L736" t="s">
        <v>38</v>
      </c>
    </row>
    <row r="737" spans="2:12">
      <c r="B737" t="s">
        <v>38</v>
      </c>
      <c r="C737">
        <v>1</v>
      </c>
      <c r="H737" t="s">
        <v>38</v>
      </c>
      <c r="I737" t="s">
        <v>38</v>
      </c>
      <c r="J737" t="s">
        <v>38</v>
      </c>
      <c r="K737" t="s">
        <v>38</v>
      </c>
      <c r="L737" t="s">
        <v>38</v>
      </c>
    </row>
    <row r="738" spans="2:12">
      <c r="B738" t="s">
        <v>38</v>
      </c>
      <c r="C738">
        <v>1</v>
      </c>
      <c r="H738" t="s">
        <v>38</v>
      </c>
      <c r="I738" t="s">
        <v>38</v>
      </c>
      <c r="J738" t="s">
        <v>38</v>
      </c>
      <c r="K738" t="s">
        <v>38</v>
      </c>
      <c r="L738" t="s">
        <v>38</v>
      </c>
    </row>
    <row r="739" spans="2:12">
      <c r="B739" t="s">
        <v>38</v>
      </c>
      <c r="C739">
        <v>1</v>
      </c>
      <c r="H739" t="s">
        <v>38</v>
      </c>
      <c r="I739" t="s">
        <v>38</v>
      </c>
      <c r="J739" t="s">
        <v>38</v>
      </c>
      <c r="K739" t="s">
        <v>38</v>
      </c>
      <c r="L739" t="s">
        <v>38</v>
      </c>
    </row>
    <row r="740" spans="2:12">
      <c r="B740" t="s">
        <v>38</v>
      </c>
      <c r="C740">
        <v>1</v>
      </c>
      <c r="H740" t="s">
        <v>38</v>
      </c>
      <c r="I740" t="s">
        <v>38</v>
      </c>
      <c r="J740" t="s">
        <v>38</v>
      </c>
      <c r="K740" t="s">
        <v>38</v>
      </c>
      <c r="L740" t="s">
        <v>38</v>
      </c>
    </row>
    <row r="741" spans="2:12">
      <c r="B741" t="s">
        <v>38</v>
      </c>
      <c r="C741">
        <v>1</v>
      </c>
      <c r="H741" t="s">
        <v>38</v>
      </c>
      <c r="I741" t="s">
        <v>38</v>
      </c>
      <c r="J741" t="s">
        <v>38</v>
      </c>
      <c r="K741" t="s">
        <v>38</v>
      </c>
      <c r="L741" t="s">
        <v>38</v>
      </c>
    </row>
    <row r="742" spans="2:12">
      <c r="B742" t="s">
        <v>38</v>
      </c>
      <c r="C742">
        <v>1</v>
      </c>
      <c r="H742" t="s">
        <v>38</v>
      </c>
      <c r="I742" t="s">
        <v>38</v>
      </c>
      <c r="J742" t="s">
        <v>38</v>
      </c>
      <c r="K742" t="s">
        <v>38</v>
      </c>
      <c r="L742" t="s">
        <v>38</v>
      </c>
    </row>
    <row r="743" spans="2:12">
      <c r="B743" t="s">
        <v>38</v>
      </c>
      <c r="C743">
        <v>1</v>
      </c>
      <c r="H743" t="s">
        <v>38</v>
      </c>
      <c r="I743" t="s">
        <v>38</v>
      </c>
      <c r="J743" t="s">
        <v>38</v>
      </c>
      <c r="K743" t="s">
        <v>38</v>
      </c>
      <c r="L743" t="s">
        <v>38</v>
      </c>
    </row>
    <row r="744" spans="2:12">
      <c r="B744" t="s">
        <v>38</v>
      </c>
      <c r="C744">
        <v>1</v>
      </c>
      <c r="H744" t="s">
        <v>38</v>
      </c>
      <c r="I744" t="s">
        <v>38</v>
      </c>
      <c r="J744" t="s">
        <v>38</v>
      </c>
      <c r="K744" t="s">
        <v>38</v>
      </c>
      <c r="L744" t="s">
        <v>38</v>
      </c>
    </row>
    <row r="745" spans="2:12">
      <c r="B745" t="s">
        <v>38</v>
      </c>
      <c r="C745">
        <v>1</v>
      </c>
      <c r="H745" t="s">
        <v>38</v>
      </c>
      <c r="I745" t="s">
        <v>38</v>
      </c>
      <c r="J745" t="s">
        <v>38</v>
      </c>
      <c r="K745" t="s">
        <v>38</v>
      </c>
      <c r="L745" t="s">
        <v>38</v>
      </c>
    </row>
    <row r="746" spans="2:12">
      <c r="B746" t="s">
        <v>38</v>
      </c>
      <c r="C746">
        <v>1</v>
      </c>
      <c r="H746" t="s">
        <v>38</v>
      </c>
      <c r="I746" t="s">
        <v>38</v>
      </c>
      <c r="J746" t="s">
        <v>38</v>
      </c>
      <c r="K746" t="s">
        <v>38</v>
      </c>
      <c r="L746" t="s">
        <v>38</v>
      </c>
    </row>
    <row r="747" spans="2:12">
      <c r="B747" t="s">
        <v>38</v>
      </c>
      <c r="C747">
        <v>1</v>
      </c>
      <c r="H747" t="s">
        <v>38</v>
      </c>
      <c r="I747" t="s">
        <v>38</v>
      </c>
      <c r="J747" t="s">
        <v>38</v>
      </c>
      <c r="K747" t="s">
        <v>38</v>
      </c>
      <c r="L747" t="s">
        <v>38</v>
      </c>
    </row>
    <row r="748" spans="2:12">
      <c r="B748" t="s">
        <v>38</v>
      </c>
      <c r="C748">
        <v>1</v>
      </c>
      <c r="H748" t="s">
        <v>38</v>
      </c>
      <c r="I748" t="s">
        <v>38</v>
      </c>
      <c r="J748" t="s">
        <v>38</v>
      </c>
      <c r="K748" t="s">
        <v>38</v>
      </c>
      <c r="L748" t="s">
        <v>38</v>
      </c>
    </row>
    <row r="749" spans="2:12">
      <c r="B749" t="s">
        <v>38</v>
      </c>
      <c r="C749">
        <v>1</v>
      </c>
      <c r="H749" t="s">
        <v>38</v>
      </c>
      <c r="I749" t="s">
        <v>38</v>
      </c>
      <c r="J749" t="s">
        <v>38</v>
      </c>
      <c r="K749" t="s">
        <v>38</v>
      </c>
      <c r="L749" t="s">
        <v>38</v>
      </c>
    </row>
    <row r="750" spans="2:12">
      <c r="B750" t="s">
        <v>38</v>
      </c>
      <c r="C750">
        <v>1</v>
      </c>
      <c r="H750" t="s">
        <v>38</v>
      </c>
      <c r="I750" t="s">
        <v>38</v>
      </c>
      <c r="J750" t="s">
        <v>38</v>
      </c>
      <c r="K750" t="s">
        <v>38</v>
      </c>
      <c r="L750" t="s">
        <v>38</v>
      </c>
    </row>
    <row r="751" spans="2:12">
      <c r="B751" t="s">
        <v>38</v>
      </c>
      <c r="C751">
        <v>1</v>
      </c>
      <c r="H751" t="s">
        <v>38</v>
      </c>
      <c r="I751" t="s">
        <v>38</v>
      </c>
      <c r="J751" t="s">
        <v>38</v>
      </c>
      <c r="K751" t="s">
        <v>38</v>
      </c>
      <c r="L751" t="s">
        <v>38</v>
      </c>
    </row>
    <row r="752" spans="2:12">
      <c r="B752" t="s">
        <v>38</v>
      </c>
      <c r="C752">
        <v>1</v>
      </c>
      <c r="H752" t="s">
        <v>38</v>
      </c>
      <c r="I752" t="s">
        <v>38</v>
      </c>
      <c r="J752" t="s">
        <v>38</v>
      </c>
      <c r="K752" t="s">
        <v>38</v>
      </c>
      <c r="L752" t="s">
        <v>38</v>
      </c>
    </row>
    <row r="753" spans="1:16">
      <c r="B753" t="s">
        <v>38</v>
      </c>
      <c r="C753">
        <v>1</v>
      </c>
      <c r="H753" t="s">
        <v>38</v>
      </c>
      <c r="I753" t="s">
        <v>38</v>
      </c>
      <c r="J753" t="s">
        <v>38</v>
      </c>
      <c r="K753" t="s">
        <v>38</v>
      </c>
      <c r="L753" t="s">
        <v>38</v>
      </c>
    </row>
    <row r="754" spans="1:16">
      <c r="B754" t="s">
        <v>38</v>
      </c>
      <c r="C754">
        <v>1</v>
      </c>
      <c r="H754" t="s">
        <v>38</v>
      </c>
      <c r="I754" t="s">
        <v>38</v>
      </c>
      <c r="J754" t="s">
        <v>38</v>
      </c>
      <c r="K754" t="s">
        <v>38</v>
      </c>
      <c r="L754" t="s">
        <v>38</v>
      </c>
    </row>
    <row r="755" spans="1:16">
      <c r="B755" t="s">
        <v>38</v>
      </c>
      <c r="C755">
        <v>1</v>
      </c>
      <c r="H755" t="s">
        <v>38</v>
      </c>
      <c r="I755" t="s">
        <v>38</v>
      </c>
      <c r="J755" t="s">
        <v>38</v>
      </c>
      <c r="K755" t="s">
        <v>38</v>
      </c>
      <c r="L755" t="s">
        <v>38</v>
      </c>
    </row>
    <row r="756" spans="1:16">
      <c r="B756" t="s">
        <v>38</v>
      </c>
      <c r="C756">
        <v>1</v>
      </c>
      <c r="H756" t="s">
        <v>38</v>
      </c>
      <c r="I756" t="s">
        <v>38</v>
      </c>
      <c r="J756" t="s">
        <v>38</v>
      </c>
      <c r="K756" t="s">
        <v>38</v>
      </c>
      <c r="L756" t="s">
        <v>38</v>
      </c>
    </row>
    <row r="757" spans="1:16">
      <c r="B757" t="s">
        <v>38</v>
      </c>
      <c r="C757">
        <v>1</v>
      </c>
      <c r="H757" t="s">
        <v>38</v>
      </c>
      <c r="I757" t="s">
        <v>38</v>
      </c>
      <c r="J757" t="s">
        <v>38</v>
      </c>
      <c r="K757" t="s">
        <v>38</v>
      </c>
      <c r="L757" t="s">
        <v>38</v>
      </c>
    </row>
    <row r="758" spans="1:16">
      <c r="B758" t="s">
        <v>38</v>
      </c>
      <c r="C758">
        <v>1</v>
      </c>
      <c r="H758" t="s">
        <v>38</v>
      </c>
      <c r="I758" t="s">
        <v>38</v>
      </c>
      <c r="J758" t="s">
        <v>38</v>
      </c>
      <c r="K758" t="s">
        <v>38</v>
      </c>
      <c r="L758" t="s">
        <v>38</v>
      </c>
    </row>
    <row r="759" spans="1:16">
      <c r="B759" t="s">
        <v>38</v>
      </c>
      <c r="C759">
        <v>1</v>
      </c>
      <c r="H759" t="s">
        <v>38</v>
      </c>
      <c r="I759" t="s">
        <v>38</v>
      </c>
      <c r="J759" t="s">
        <v>38</v>
      </c>
      <c r="K759" t="s">
        <v>38</v>
      </c>
      <c r="L759" t="s">
        <v>38</v>
      </c>
    </row>
    <row r="760" spans="1:16">
      <c r="B760" t="s">
        <v>38</v>
      </c>
      <c r="C760">
        <v>1</v>
      </c>
      <c r="H760" t="s">
        <v>38</v>
      </c>
      <c r="I760" t="s">
        <v>38</v>
      </c>
      <c r="J760" t="s">
        <v>38</v>
      </c>
      <c r="K760" t="s">
        <v>38</v>
      </c>
      <c r="L760" t="s">
        <v>38</v>
      </c>
    </row>
    <row r="761" spans="1:16">
      <c r="B761" t="s">
        <v>38</v>
      </c>
      <c r="C761">
        <v>1</v>
      </c>
      <c r="H761" t="s">
        <v>38</v>
      </c>
      <c r="I761" t="s">
        <v>38</v>
      </c>
      <c r="J761" t="s">
        <v>38</v>
      </c>
      <c r="K761" t="s">
        <v>38</v>
      </c>
      <c r="L761" t="s">
        <v>38</v>
      </c>
    </row>
    <row r="762" spans="1:16">
      <c r="B762" t="s">
        <v>38</v>
      </c>
      <c r="C762">
        <v>1</v>
      </c>
      <c r="H762" t="s">
        <v>38</v>
      </c>
      <c r="I762" t="s">
        <v>38</v>
      </c>
      <c r="J762" t="s">
        <v>38</v>
      </c>
      <c r="K762" t="s">
        <v>38</v>
      </c>
      <c r="L762" t="s">
        <v>38</v>
      </c>
    </row>
    <row r="765" spans="1:16">
      <c r="A765" t="s">
        <v>365</v>
      </c>
      <c r="B765" t="s">
        <v>234</v>
      </c>
      <c r="C765">
        <v>1</v>
      </c>
      <c r="E765">
        <v>0</v>
      </c>
      <c r="H765" t="s">
        <v>324</v>
      </c>
      <c r="I765" t="s">
        <v>38</v>
      </c>
      <c r="J765" t="s">
        <v>38</v>
      </c>
      <c r="K765" t="s">
        <v>38</v>
      </c>
      <c r="L765" t="s">
        <v>38</v>
      </c>
      <c r="N765" t="s">
        <v>360</v>
      </c>
      <c r="O765">
        <v>42</v>
      </c>
      <c r="P765">
        <v>36777.31</v>
      </c>
    </row>
    <row r="766" spans="1:16">
      <c r="B766" t="s">
        <v>242</v>
      </c>
      <c r="C766">
        <v>1</v>
      </c>
      <c r="E766">
        <v>1</v>
      </c>
      <c r="H766" t="s">
        <v>324</v>
      </c>
      <c r="I766" t="s">
        <v>38</v>
      </c>
      <c r="J766" t="s">
        <v>38</v>
      </c>
      <c r="K766" t="s">
        <v>38</v>
      </c>
      <c r="L766" t="s">
        <v>38</v>
      </c>
      <c r="M766" t="s">
        <v>314</v>
      </c>
      <c r="N766" t="s">
        <v>360</v>
      </c>
    </row>
    <row r="767" spans="1:16">
      <c r="B767" t="s">
        <v>244</v>
      </c>
      <c r="C767">
        <v>1</v>
      </c>
      <c r="E767">
        <v>1</v>
      </c>
      <c r="H767" t="s">
        <v>324</v>
      </c>
      <c r="I767" t="s">
        <v>319</v>
      </c>
      <c r="J767" t="s">
        <v>38</v>
      </c>
      <c r="K767" t="s">
        <v>38</v>
      </c>
      <c r="L767" t="s">
        <v>38</v>
      </c>
      <c r="M767" t="s">
        <v>314</v>
      </c>
      <c r="N767" t="s">
        <v>360</v>
      </c>
    </row>
    <row r="768" spans="1:16">
      <c r="B768" t="s">
        <v>240</v>
      </c>
      <c r="C768">
        <v>1</v>
      </c>
      <c r="E768">
        <v>1</v>
      </c>
      <c r="H768" t="s">
        <v>324</v>
      </c>
      <c r="I768" t="s">
        <v>322</v>
      </c>
      <c r="J768" t="s">
        <v>38</v>
      </c>
      <c r="K768" t="s">
        <v>38</v>
      </c>
      <c r="L768" t="s">
        <v>38</v>
      </c>
      <c r="N768" t="s">
        <v>360</v>
      </c>
    </row>
    <row r="769" spans="2:14">
      <c r="B769" t="s">
        <v>153</v>
      </c>
      <c r="C769">
        <v>1</v>
      </c>
      <c r="E769">
        <v>1</v>
      </c>
      <c r="H769" t="s">
        <v>324</v>
      </c>
      <c r="I769" t="s">
        <v>322</v>
      </c>
      <c r="J769" t="s">
        <v>38</v>
      </c>
      <c r="K769" t="s">
        <v>38</v>
      </c>
      <c r="L769" t="s">
        <v>38</v>
      </c>
      <c r="N769" t="s">
        <v>360</v>
      </c>
    </row>
    <row r="770" spans="2:14">
      <c r="B770" t="s">
        <v>237</v>
      </c>
      <c r="C770">
        <v>1</v>
      </c>
      <c r="E770">
        <v>2</v>
      </c>
      <c r="H770" t="s">
        <v>324</v>
      </c>
      <c r="I770" t="s">
        <v>322</v>
      </c>
      <c r="J770" t="s">
        <v>38</v>
      </c>
      <c r="K770" t="s">
        <v>38</v>
      </c>
      <c r="L770" t="s">
        <v>38</v>
      </c>
      <c r="N770" t="s">
        <v>360</v>
      </c>
    </row>
    <row r="771" spans="2:14">
      <c r="B771" t="s">
        <v>238</v>
      </c>
      <c r="C771">
        <v>1</v>
      </c>
      <c r="E771">
        <v>2</v>
      </c>
      <c r="H771" t="s">
        <v>324</v>
      </c>
      <c r="I771" t="s">
        <v>322</v>
      </c>
      <c r="J771" t="s">
        <v>38</v>
      </c>
      <c r="K771" t="s">
        <v>38</v>
      </c>
      <c r="L771" t="s">
        <v>38</v>
      </c>
      <c r="N771" t="s">
        <v>360</v>
      </c>
    </row>
    <row r="772" spans="2:14">
      <c r="B772" t="s">
        <v>239</v>
      </c>
      <c r="C772">
        <v>1</v>
      </c>
      <c r="E772">
        <v>2</v>
      </c>
      <c r="H772" t="s">
        <v>324</v>
      </c>
      <c r="I772" t="s">
        <v>322</v>
      </c>
      <c r="J772" t="s">
        <v>38</v>
      </c>
      <c r="K772" t="s">
        <v>38</v>
      </c>
      <c r="L772" t="s">
        <v>38</v>
      </c>
      <c r="N772" t="s">
        <v>360</v>
      </c>
    </row>
    <row r="773" spans="2:14">
      <c r="B773" t="s">
        <v>153</v>
      </c>
      <c r="C773">
        <v>1</v>
      </c>
      <c r="E773">
        <v>2</v>
      </c>
      <c r="H773" t="s">
        <v>324</v>
      </c>
      <c r="I773" t="s">
        <v>322</v>
      </c>
      <c r="J773" t="s">
        <v>362</v>
      </c>
      <c r="K773" t="s">
        <v>38</v>
      </c>
      <c r="L773" t="s">
        <v>38</v>
      </c>
      <c r="N773" t="s">
        <v>360</v>
      </c>
    </row>
    <row r="774" spans="2:14">
      <c r="B774" t="s">
        <v>243</v>
      </c>
      <c r="C774">
        <v>1</v>
      </c>
      <c r="E774">
        <v>3</v>
      </c>
      <c r="H774" t="s">
        <v>324</v>
      </c>
      <c r="I774" t="s">
        <v>321</v>
      </c>
      <c r="J774" t="s">
        <v>362</v>
      </c>
      <c r="K774" t="s">
        <v>38</v>
      </c>
      <c r="L774" t="s">
        <v>38</v>
      </c>
      <c r="M774" t="s">
        <v>314</v>
      </c>
      <c r="N774" t="s">
        <v>360</v>
      </c>
    </row>
    <row r="775" spans="2:14">
      <c r="B775" t="s">
        <v>244</v>
      </c>
      <c r="C775">
        <v>1</v>
      </c>
      <c r="E775">
        <v>3</v>
      </c>
      <c r="H775" t="s">
        <v>324</v>
      </c>
      <c r="I775" t="s">
        <v>321</v>
      </c>
      <c r="J775" t="s">
        <v>362</v>
      </c>
      <c r="K775" t="s">
        <v>38</v>
      </c>
      <c r="L775" t="s">
        <v>38</v>
      </c>
      <c r="M775" t="s">
        <v>314</v>
      </c>
      <c r="N775" t="s">
        <v>360</v>
      </c>
    </row>
    <row r="776" spans="2:14">
      <c r="B776" t="s">
        <v>236</v>
      </c>
      <c r="C776">
        <v>1</v>
      </c>
      <c r="E776">
        <v>3</v>
      </c>
      <c r="H776" t="s">
        <v>324</v>
      </c>
      <c r="I776" t="s">
        <v>322</v>
      </c>
      <c r="J776" t="s">
        <v>362</v>
      </c>
      <c r="K776" t="s">
        <v>38</v>
      </c>
      <c r="L776" t="s">
        <v>38</v>
      </c>
      <c r="N776" t="s">
        <v>360</v>
      </c>
    </row>
    <row r="777" spans="2:14">
      <c r="B777" t="s">
        <v>244</v>
      </c>
      <c r="C777">
        <v>1</v>
      </c>
      <c r="E777">
        <v>4</v>
      </c>
      <c r="H777" t="s">
        <v>324</v>
      </c>
      <c r="I777" t="s">
        <v>321</v>
      </c>
      <c r="J777" t="s">
        <v>362</v>
      </c>
      <c r="K777" t="s">
        <v>363</v>
      </c>
      <c r="L777" t="s">
        <v>38</v>
      </c>
      <c r="M777" t="s">
        <v>314</v>
      </c>
      <c r="N777" t="s">
        <v>360</v>
      </c>
    </row>
    <row r="778" spans="2:14">
      <c r="B778" t="s">
        <v>153</v>
      </c>
      <c r="C778">
        <v>1</v>
      </c>
      <c r="E778">
        <v>4</v>
      </c>
      <c r="H778" t="s">
        <v>324</v>
      </c>
      <c r="I778" t="s">
        <v>322</v>
      </c>
      <c r="J778" t="s">
        <v>362</v>
      </c>
      <c r="K778" t="s">
        <v>363</v>
      </c>
      <c r="L778" t="s">
        <v>38</v>
      </c>
      <c r="N778" t="s">
        <v>360</v>
      </c>
    </row>
    <row r="779" spans="2:14">
      <c r="B779" t="s">
        <v>240</v>
      </c>
      <c r="C779">
        <v>1</v>
      </c>
      <c r="E779">
        <v>4</v>
      </c>
      <c r="H779" t="s">
        <v>324</v>
      </c>
      <c r="I779" t="s">
        <v>322</v>
      </c>
      <c r="J779" t="s">
        <v>362</v>
      </c>
      <c r="K779" t="s">
        <v>363</v>
      </c>
      <c r="L779" t="s">
        <v>38</v>
      </c>
      <c r="N779" t="s">
        <v>360</v>
      </c>
    </row>
    <row r="780" spans="2:14">
      <c r="B780" t="s">
        <v>243</v>
      </c>
      <c r="C780">
        <v>1</v>
      </c>
      <c r="E780">
        <v>4</v>
      </c>
      <c r="H780" t="s">
        <v>324</v>
      </c>
      <c r="I780" t="s">
        <v>321</v>
      </c>
      <c r="J780" t="s">
        <v>362</v>
      </c>
      <c r="K780" t="s">
        <v>363</v>
      </c>
      <c r="L780" t="s">
        <v>38</v>
      </c>
      <c r="M780" t="s">
        <v>314</v>
      </c>
      <c r="N780" t="s">
        <v>360</v>
      </c>
    </row>
    <row r="781" spans="2:14">
      <c r="B781" t="s">
        <v>244</v>
      </c>
      <c r="C781">
        <v>1</v>
      </c>
      <c r="E781">
        <v>5</v>
      </c>
      <c r="H781" t="s">
        <v>324</v>
      </c>
      <c r="I781" t="s">
        <v>321</v>
      </c>
      <c r="J781" t="s">
        <v>362</v>
      </c>
      <c r="K781" t="s">
        <v>363</v>
      </c>
      <c r="L781" t="s">
        <v>38</v>
      </c>
      <c r="M781" t="s">
        <v>314</v>
      </c>
      <c r="N781" t="s">
        <v>360</v>
      </c>
    </row>
    <row r="782" spans="2:14">
      <c r="B782" t="s">
        <v>240</v>
      </c>
      <c r="C782">
        <v>1</v>
      </c>
      <c r="E782">
        <v>5</v>
      </c>
      <c r="H782" t="s">
        <v>324</v>
      </c>
      <c r="I782" t="s">
        <v>322</v>
      </c>
      <c r="J782" t="s">
        <v>362</v>
      </c>
      <c r="K782" t="s">
        <v>363</v>
      </c>
      <c r="L782" t="s">
        <v>38</v>
      </c>
      <c r="N782" t="s">
        <v>360</v>
      </c>
    </row>
    <row r="783" spans="2:14">
      <c r="B783" t="s">
        <v>243</v>
      </c>
      <c r="C783">
        <v>1</v>
      </c>
      <c r="E783">
        <v>5</v>
      </c>
      <c r="H783" t="s">
        <v>324</v>
      </c>
      <c r="I783" t="s">
        <v>321</v>
      </c>
      <c r="J783" t="s">
        <v>362</v>
      </c>
      <c r="K783" t="s">
        <v>363</v>
      </c>
      <c r="L783" t="s">
        <v>38</v>
      </c>
      <c r="M783" t="s">
        <v>314</v>
      </c>
      <c r="N783" t="s">
        <v>360</v>
      </c>
    </row>
    <row r="784" spans="2:14">
      <c r="B784" t="s">
        <v>153</v>
      </c>
      <c r="C784">
        <v>1</v>
      </c>
      <c r="E784">
        <v>5</v>
      </c>
      <c r="H784" t="s">
        <v>324</v>
      </c>
      <c r="I784" t="s">
        <v>322</v>
      </c>
      <c r="J784" t="s">
        <v>362</v>
      </c>
      <c r="K784" t="s">
        <v>363</v>
      </c>
      <c r="L784" t="s">
        <v>38</v>
      </c>
      <c r="N784" t="s">
        <v>360</v>
      </c>
    </row>
    <row r="785" spans="2:14">
      <c r="B785" t="s">
        <v>244</v>
      </c>
      <c r="C785">
        <v>1</v>
      </c>
      <c r="E785">
        <v>5</v>
      </c>
      <c r="H785" t="s">
        <v>324</v>
      </c>
      <c r="I785" t="s">
        <v>321</v>
      </c>
      <c r="J785" t="s">
        <v>362</v>
      </c>
      <c r="K785" t="s">
        <v>363</v>
      </c>
      <c r="L785" t="s">
        <v>38</v>
      </c>
      <c r="M785" t="s">
        <v>314</v>
      </c>
      <c r="N785" t="s">
        <v>360</v>
      </c>
    </row>
    <row r="786" spans="2:14">
      <c r="B786" t="s">
        <v>131</v>
      </c>
      <c r="C786">
        <v>1</v>
      </c>
      <c r="E786">
        <v>5</v>
      </c>
      <c r="H786" t="s">
        <v>324</v>
      </c>
      <c r="I786" t="s">
        <v>322</v>
      </c>
      <c r="J786" t="s">
        <v>362</v>
      </c>
      <c r="K786" t="s">
        <v>363</v>
      </c>
      <c r="L786" t="s">
        <v>38</v>
      </c>
      <c r="N786" t="s">
        <v>360</v>
      </c>
    </row>
    <row r="787" spans="2:14">
      <c r="B787" t="s">
        <v>153</v>
      </c>
      <c r="C787">
        <v>1</v>
      </c>
      <c r="E787">
        <v>5</v>
      </c>
      <c r="H787" t="s">
        <v>324</v>
      </c>
      <c r="I787" t="s">
        <v>322</v>
      </c>
      <c r="J787" t="s">
        <v>362</v>
      </c>
      <c r="K787" t="s">
        <v>363</v>
      </c>
      <c r="L787" t="s">
        <v>38</v>
      </c>
      <c r="N787" t="s">
        <v>360</v>
      </c>
    </row>
    <row r="788" spans="2:14">
      <c r="B788" t="s">
        <v>240</v>
      </c>
      <c r="C788">
        <v>1</v>
      </c>
      <c r="E788">
        <v>5</v>
      </c>
      <c r="H788" t="s">
        <v>324</v>
      </c>
      <c r="I788" t="s">
        <v>322</v>
      </c>
      <c r="J788" t="s">
        <v>362</v>
      </c>
      <c r="K788" t="s">
        <v>363</v>
      </c>
      <c r="L788" t="s">
        <v>38</v>
      </c>
      <c r="N788" t="s">
        <v>360</v>
      </c>
    </row>
    <row r="789" spans="2:14">
      <c r="B789" t="s">
        <v>243</v>
      </c>
      <c r="C789">
        <v>1</v>
      </c>
      <c r="E789">
        <v>5</v>
      </c>
      <c r="H789" t="s">
        <v>324</v>
      </c>
      <c r="I789" t="s">
        <v>321</v>
      </c>
      <c r="J789" t="s">
        <v>362</v>
      </c>
      <c r="K789" t="s">
        <v>363</v>
      </c>
      <c r="L789" t="s">
        <v>38</v>
      </c>
      <c r="M789" t="s">
        <v>314</v>
      </c>
      <c r="N789" t="s">
        <v>360</v>
      </c>
    </row>
    <row r="790" spans="2:14">
      <c r="B790" t="s">
        <v>244</v>
      </c>
      <c r="C790">
        <v>1</v>
      </c>
      <c r="E790">
        <v>5</v>
      </c>
      <c r="H790" t="s">
        <v>324</v>
      </c>
      <c r="I790" t="s">
        <v>321</v>
      </c>
      <c r="J790" t="s">
        <v>362</v>
      </c>
      <c r="K790" t="s">
        <v>363</v>
      </c>
      <c r="L790" t="s">
        <v>38</v>
      </c>
      <c r="M790" t="s">
        <v>314</v>
      </c>
      <c r="N790" t="s">
        <v>360</v>
      </c>
    </row>
    <row r="791" spans="2:14">
      <c r="B791" t="s">
        <v>153</v>
      </c>
      <c r="C791">
        <v>1</v>
      </c>
      <c r="E791">
        <v>5</v>
      </c>
      <c r="H791" t="s">
        <v>324</v>
      </c>
      <c r="I791" t="s">
        <v>322</v>
      </c>
      <c r="J791" t="s">
        <v>362</v>
      </c>
      <c r="K791" t="s">
        <v>363</v>
      </c>
      <c r="L791" t="s">
        <v>38</v>
      </c>
      <c r="N791" t="s">
        <v>360</v>
      </c>
    </row>
    <row r="792" spans="2:14">
      <c r="B792" t="s">
        <v>240</v>
      </c>
      <c r="C792">
        <v>1</v>
      </c>
      <c r="E792">
        <v>5</v>
      </c>
      <c r="H792" t="s">
        <v>38</v>
      </c>
      <c r="I792" t="s">
        <v>322</v>
      </c>
      <c r="J792" t="s">
        <v>362</v>
      </c>
      <c r="K792" t="s">
        <v>363</v>
      </c>
      <c r="L792" t="s">
        <v>38</v>
      </c>
      <c r="N792" t="s">
        <v>360</v>
      </c>
    </row>
    <row r="793" spans="2:14">
      <c r="B793" t="s">
        <v>242</v>
      </c>
      <c r="C793">
        <v>1</v>
      </c>
      <c r="E793">
        <v>5</v>
      </c>
      <c r="H793" t="s">
        <v>38</v>
      </c>
      <c r="I793" t="s">
        <v>321</v>
      </c>
      <c r="J793" t="s">
        <v>362</v>
      </c>
      <c r="K793" t="s">
        <v>363</v>
      </c>
      <c r="L793" t="s">
        <v>38</v>
      </c>
      <c r="M793" t="s">
        <v>314</v>
      </c>
      <c r="N793" t="s">
        <v>360</v>
      </c>
    </row>
    <row r="794" spans="2:14">
      <c r="B794" t="s">
        <v>244</v>
      </c>
      <c r="C794">
        <v>1</v>
      </c>
      <c r="E794">
        <v>5</v>
      </c>
      <c r="H794" t="s">
        <v>38</v>
      </c>
      <c r="I794" t="s">
        <v>321</v>
      </c>
      <c r="J794" t="s">
        <v>362</v>
      </c>
      <c r="K794" t="s">
        <v>363</v>
      </c>
      <c r="L794" t="s">
        <v>38</v>
      </c>
      <c r="M794" t="s">
        <v>314</v>
      </c>
      <c r="N794" t="s">
        <v>360</v>
      </c>
    </row>
    <row r="795" spans="2:14">
      <c r="B795" t="s">
        <v>240</v>
      </c>
      <c r="C795">
        <v>1</v>
      </c>
      <c r="E795">
        <v>5</v>
      </c>
      <c r="H795" t="s">
        <v>38</v>
      </c>
      <c r="I795" t="s">
        <v>322</v>
      </c>
      <c r="J795" t="s">
        <v>362</v>
      </c>
      <c r="K795" t="s">
        <v>363</v>
      </c>
      <c r="L795" t="s">
        <v>38</v>
      </c>
      <c r="N795" t="s">
        <v>360</v>
      </c>
    </row>
    <row r="796" spans="2:14">
      <c r="B796" t="s">
        <v>242</v>
      </c>
      <c r="C796">
        <v>1</v>
      </c>
      <c r="E796">
        <v>5</v>
      </c>
      <c r="H796" t="s">
        <v>38</v>
      </c>
      <c r="I796" t="s">
        <v>321</v>
      </c>
      <c r="J796" t="s">
        <v>38</v>
      </c>
      <c r="K796" t="s">
        <v>363</v>
      </c>
      <c r="L796" t="s">
        <v>38</v>
      </c>
      <c r="M796" t="s">
        <v>314</v>
      </c>
      <c r="N796" t="s">
        <v>360</v>
      </c>
    </row>
    <row r="797" spans="2:14">
      <c r="B797" t="s">
        <v>244</v>
      </c>
      <c r="C797">
        <v>1</v>
      </c>
      <c r="E797">
        <v>5</v>
      </c>
      <c r="H797" t="s">
        <v>38</v>
      </c>
      <c r="I797" t="s">
        <v>321</v>
      </c>
      <c r="J797" t="s">
        <v>38</v>
      </c>
      <c r="K797" t="s">
        <v>363</v>
      </c>
      <c r="L797" t="s">
        <v>38</v>
      </c>
      <c r="M797" t="s">
        <v>314</v>
      </c>
      <c r="N797" t="s">
        <v>360</v>
      </c>
    </row>
    <row r="798" spans="2:14">
      <c r="B798" t="s">
        <v>240</v>
      </c>
      <c r="C798">
        <v>1</v>
      </c>
      <c r="E798">
        <v>5</v>
      </c>
      <c r="H798" t="s">
        <v>38</v>
      </c>
      <c r="I798" t="s">
        <v>322</v>
      </c>
      <c r="J798" t="s">
        <v>38</v>
      </c>
      <c r="K798" t="s">
        <v>38</v>
      </c>
      <c r="L798" t="s">
        <v>38</v>
      </c>
      <c r="N798" t="s">
        <v>360</v>
      </c>
    </row>
    <row r="799" spans="2:14">
      <c r="B799" t="s">
        <v>242</v>
      </c>
      <c r="C799">
        <v>1</v>
      </c>
      <c r="E799">
        <v>5</v>
      </c>
      <c r="H799" t="s">
        <v>38</v>
      </c>
      <c r="I799" t="s">
        <v>321</v>
      </c>
      <c r="J799" t="s">
        <v>38</v>
      </c>
      <c r="K799" t="s">
        <v>38</v>
      </c>
      <c r="L799" t="s">
        <v>38</v>
      </c>
      <c r="M799" t="s">
        <v>314</v>
      </c>
      <c r="N799" t="s">
        <v>360</v>
      </c>
    </row>
    <row r="800" spans="2:14">
      <c r="B800" t="s">
        <v>244</v>
      </c>
      <c r="C800">
        <v>1</v>
      </c>
      <c r="E800">
        <v>5</v>
      </c>
      <c r="H800" t="s">
        <v>38</v>
      </c>
      <c r="I800" t="s">
        <v>321</v>
      </c>
      <c r="J800" t="s">
        <v>38</v>
      </c>
      <c r="K800" t="s">
        <v>38</v>
      </c>
      <c r="L800" t="s">
        <v>38</v>
      </c>
      <c r="M800" t="s">
        <v>314</v>
      </c>
      <c r="N800" t="s">
        <v>360</v>
      </c>
    </row>
    <row r="801" spans="2:14">
      <c r="B801" t="s">
        <v>240</v>
      </c>
      <c r="C801">
        <v>1</v>
      </c>
      <c r="E801">
        <v>5</v>
      </c>
      <c r="H801" t="s">
        <v>38</v>
      </c>
      <c r="I801" t="s">
        <v>322</v>
      </c>
      <c r="J801" t="s">
        <v>38</v>
      </c>
      <c r="K801" t="s">
        <v>38</v>
      </c>
      <c r="L801" t="s">
        <v>38</v>
      </c>
      <c r="N801" t="s">
        <v>360</v>
      </c>
    </row>
    <row r="802" spans="2:14">
      <c r="B802" t="s">
        <v>131</v>
      </c>
      <c r="C802">
        <v>1</v>
      </c>
      <c r="E802">
        <v>5</v>
      </c>
      <c r="H802" t="s">
        <v>38</v>
      </c>
      <c r="I802" t="s">
        <v>322</v>
      </c>
      <c r="J802" t="s">
        <v>38</v>
      </c>
      <c r="K802" t="s">
        <v>38</v>
      </c>
      <c r="L802" t="s">
        <v>38</v>
      </c>
      <c r="N802" t="s">
        <v>360</v>
      </c>
    </row>
    <row r="803" spans="2:14">
      <c r="B803" t="s">
        <v>242</v>
      </c>
      <c r="C803">
        <v>1</v>
      </c>
      <c r="E803">
        <v>5</v>
      </c>
      <c r="H803" t="s">
        <v>38</v>
      </c>
      <c r="I803" t="s">
        <v>321</v>
      </c>
      <c r="J803" t="s">
        <v>38</v>
      </c>
      <c r="K803" t="s">
        <v>38</v>
      </c>
      <c r="L803" t="s">
        <v>38</v>
      </c>
      <c r="M803" t="s">
        <v>314</v>
      </c>
      <c r="N803" t="s">
        <v>360</v>
      </c>
    </row>
    <row r="804" spans="2:14">
      <c r="B804" t="s">
        <v>244</v>
      </c>
      <c r="C804">
        <v>1</v>
      </c>
      <c r="E804">
        <v>5</v>
      </c>
      <c r="H804" t="s">
        <v>38</v>
      </c>
      <c r="I804" t="s">
        <v>321</v>
      </c>
      <c r="J804" t="s">
        <v>38</v>
      </c>
      <c r="K804" t="s">
        <v>38</v>
      </c>
      <c r="L804" t="s">
        <v>38</v>
      </c>
      <c r="M804" t="s">
        <v>314</v>
      </c>
      <c r="N804" t="s">
        <v>360</v>
      </c>
    </row>
    <row r="805" spans="2:14">
      <c r="B805" t="s">
        <v>240</v>
      </c>
      <c r="C805">
        <v>1</v>
      </c>
      <c r="E805">
        <v>5</v>
      </c>
      <c r="H805" t="s">
        <v>38</v>
      </c>
      <c r="I805" t="s">
        <v>322</v>
      </c>
      <c r="J805" t="s">
        <v>38</v>
      </c>
      <c r="K805" t="s">
        <v>38</v>
      </c>
      <c r="L805" t="s">
        <v>38</v>
      </c>
      <c r="N805" t="s">
        <v>360</v>
      </c>
    </row>
    <row r="806" spans="2:14">
      <c r="B806" t="s">
        <v>242</v>
      </c>
      <c r="C806">
        <v>1</v>
      </c>
      <c r="E806">
        <v>5</v>
      </c>
      <c r="H806" t="s">
        <v>38</v>
      </c>
      <c r="I806" t="s">
        <v>321</v>
      </c>
      <c r="J806" t="s">
        <v>38</v>
      </c>
      <c r="K806" t="s">
        <v>38</v>
      </c>
      <c r="L806" t="s">
        <v>38</v>
      </c>
      <c r="M806" t="s">
        <v>314</v>
      </c>
      <c r="N806" t="s">
        <v>360</v>
      </c>
    </row>
    <row r="807" spans="2:14">
      <c r="B807" t="s">
        <v>244</v>
      </c>
      <c r="C807">
        <v>1</v>
      </c>
      <c r="E807">
        <v>5</v>
      </c>
      <c r="G807">
        <v>1</v>
      </c>
      <c r="H807" t="s">
        <v>38</v>
      </c>
      <c r="I807" t="s">
        <v>321</v>
      </c>
      <c r="J807" t="s">
        <v>38</v>
      </c>
      <c r="K807" t="s">
        <v>38</v>
      </c>
      <c r="L807" t="s">
        <v>38</v>
      </c>
      <c r="M807" t="s">
        <v>314</v>
      </c>
      <c r="N807" t="s">
        <v>360</v>
      </c>
    </row>
    <row r="808" spans="2:14">
      <c r="B808" t="s">
        <v>237</v>
      </c>
      <c r="C808">
        <v>1</v>
      </c>
      <c r="E808">
        <v>5</v>
      </c>
      <c r="G808">
        <v>1</v>
      </c>
      <c r="H808" t="s">
        <v>38</v>
      </c>
      <c r="I808" t="s">
        <v>322</v>
      </c>
      <c r="J808" t="s">
        <v>38</v>
      </c>
      <c r="K808" t="s">
        <v>38</v>
      </c>
      <c r="L808" t="s">
        <v>38</v>
      </c>
      <c r="N808" t="s">
        <v>360</v>
      </c>
    </row>
    <row r="809" spans="2:14">
      <c r="B809" t="s">
        <v>238</v>
      </c>
      <c r="C809">
        <v>1</v>
      </c>
      <c r="E809">
        <v>5</v>
      </c>
      <c r="G809">
        <v>1</v>
      </c>
      <c r="H809" t="s">
        <v>38</v>
      </c>
      <c r="I809" t="s">
        <v>322</v>
      </c>
      <c r="J809" t="s">
        <v>38</v>
      </c>
      <c r="K809" t="s">
        <v>38</v>
      </c>
      <c r="L809" t="s">
        <v>38</v>
      </c>
      <c r="N809" t="s">
        <v>360</v>
      </c>
    </row>
    <row r="810" spans="2:14">
      <c r="B810" t="s">
        <v>239</v>
      </c>
      <c r="C810">
        <v>1</v>
      </c>
      <c r="E810">
        <v>5</v>
      </c>
      <c r="G810">
        <v>1</v>
      </c>
      <c r="H810" t="s">
        <v>38</v>
      </c>
      <c r="I810" t="s">
        <v>322</v>
      </c>
      <c r="J810" t="s">
        <v>38</v>
      </c>
      <c r="K810" t="s">
        <v>38</v>
      </c>
      <c r="L810" t="s">
        <v>38</v>
      </c>
      <c r="N810" t="s">
        <v>360</v>
      </c>
    </row>
    <row r="811" spans="2:14">
      <c r="B811" t="s">
        <v>234</v>
      </c>
      <c r="C811">
        <v>1</v>
      </c>
      <c r="E811">
        <v>5</v>
      </c>
      <c r="G811">
        <v>1</v>
      </c>
      <c r="H811" t="s">
        <v>38</v>
      </c>
      <c r="I811" t="s">
        <v>322</v>
      </c>
      <c r="J811" t="s">
        <v>362</v>
      </c>
      <c r="K811" t="s">
        <v>38</v>
      </c>
      <c r="L811" t="s">
        <v>38</v>
      </c>
      <c r="N811" t="s">
        <v>360</v>
      </c>
    </row>
    <row r="812" spans="2:14">
      <c r="B812" t="s">
        <v>236</v>
      </c>
      <c r="C812">
        <v>1</v>
      </c>
      <c r="E812">
        <v>5</v>
      </c>
      <c r="G812">
        <v>1</v>
      </c>
      <c r="H812" t="s">
        <v>38</v>
      </c>
      <c r="I812" t="s">
        <v>322</v>
      </c>
      <c r="J812" t="s">
        <v>362</v>
      </c>
      <c r="K812" t="s">
        <v>38</v>
      </c>
      <c r="L812" t="s">
        <v>38</v>
      </c>
      <c r="N812" t="s">
        <v>360</v>
      </c>
    </row>
    <row r="813" spans="2:14">
      <c r="B813" t="s">
        <v>244</v>
      </c>
      <c r="C813">
        <v>1</v>
      </c>
      <c r="E813">
        <v>5</v>
      </c>
      <c r="G813">
        <v>1</v>
      </c>
      <c r="H813" t="s">
        <v>38</v>
      </c>
      <c r="I813" t="s">
        <v>321</v>
      </c>
      <c r="J813" t="s">
        <v>362</v>
      </c>
      <c r="K813" t="s">
        <v>363</v>
      </c>
      <c r="L813" t="s">
        <v>38</v>
      </c>
      <c r="M813" t="s">
        <v>314</v>
      </c>
      <c r="N813" t="s">
        <v>360</v>
      </c>
    </row>
    <row r="814" spans="2:14">
      <c r="B814" t="s">
        <v>248</v>
      </c>
      <c r="C814">
        <v>1</v>
      </c>
      <c r="E814">
        <v>5</v>
      </c>
      <c r="G814">
        <v>1</v>
      </c>
      <c r="H814" t="s">
        <v>38</v>
      </c>
      <c r="I814" t="s">
        <v>322</v>
      </c>
      <c r="J814" t="s">
        <v>362</v>
      </c>
      <c r="K814" t="s">
        <v>363</v>
      </c>
      <c r="L814" t="s">
        <v>38</v>
      </c>
      <c r="N814" t="s">
        <v>360</v>
      </c>
    </row>
    <row r="815" spans="2:14">
      <c r="B815" t="s">
        <v>243</v>
      </c>
      <c r="C815">
        <v>1</v>
      </c>
      <c r="D815">
        <v>1</v>
      </c>
      <c r="E815">
        <v>5</v>
      </c>
      <c r="F815">
        <v>5</v>
      </c>
      <c r="G815">
        <v>1</v>
      </c>
      <c r="H815" t="s">
        <v>38</v>
      </c>
      <c r="I815" t="s">
        <v>321</v>
      </c>
      <c r="J815" t="s">
        <v>362</v>
      </c>
      <c r="K815" t="s">
        <v>363</v>
      </c>
      <c r="L815" t="s">
        <v>38</v>
      </c>
      <c r="M815" t="s">
        <v>314</v>
      </c>
      <c r="N815" t="s">
        <v>360</v>
      </c>
    </row>
    <row r="816" spans="2:14">
      <c r="B816" t="s">
        <v>244</v>
      </c>
      <c r="C816">
        <v>1</v>
      </c>
      <c r="D816">
        <v>1</v>
      </c>
      <c r="E816">
        <v>5</v>
      </c>
      <c r="F816">
        <v>5</v>
      </c>
      <c r="G816">
        <v>1</v>
      </c>
      <c r="H816" t="s">
        <v>38</v>
      </c>
      <c r="I816" t="s">
        <v>321</v>
      </c>
      <c r="J816" t="s">
        <v>362</v>
      </c>
      <c r="K816" t="s">
        <v>363</v>
      </c>
      <c r="L816" t="s">
        <v>38</v>
      </c>
      <c r="M816" t="s">
        <v>314</v>
      </c>
      <c r="N816" t="s">
        <v>360</v>
      </c>
    </row>
    <row r="817" spans="2:14">
      <c r="B817" t="s">
        <v>131</v>
      </c>
      <c r="C817">
        <v>1</v>
      </c>
      <c r="D817">
        <v>1</v>
      </c>
      <c r="E817">
        <v>5</v>
      </c>
      <c r="F817">
        <v>5</v>
      </c>
      <c r="G817">
        <v>1</v>
      </c>
      <c r="H817" t="s">
        <v>38</v>
      </c>
      <c r="I817" t="s">
        <v>322</v>
      </c>
      <c r="J817" t="s">
        <v>362</v>
      </c>
      <c r="K817" t="s">
        <v>363</v>
      </c>
      <c r="L817" t="s">
        <v>38</v>
      </c>
      <c r="N817" t="s">
        <v>360</v>
      </c>
    </row>
    <row r="818" spans="2:14">
      <c r="B818" t="s">
        <v>240</v>
      </c>
      <c r="C818">
        <v>1</v>
      </c>
      <c r="D818">
        <v>1</v>
      </c>
      <c r="E818">
        <v>5</v>
      </c>
      <c r="F818">
        <v>5</v>
      </c>
      <c r="G818">
        <v>1</v>
      </c>
      <c r="H818" t="s">
        <v>38</v>
      </c>
      <c r="I818" t="s">
        <v>322</v>
      </c>
      <c r="J818" t="s">
        <v>362</v>
      </c>
      <c r="K818" t="s">
        <v>363</v>
      </c>
      <c r="L818" t="s">
        <v>38</v>
      </c>
      <c r="N818" t="s">
        <v>360</v>
      </c>
    </row>
    <row r="819" spans="2:14">
      <c r="B819" t="s">
        <v>243</v>
      </c>
      <c r="C819">
        <v>1</v>
      </c>
      <c r="D819">
        <v>1</v>
      </c>
      <c r="E819">
        <v>5</v>
      </c>
      <c r="F819">
        <v>5</v>
      </c>
      <c r="G819">
        <v>1</v>
      </c>
      <c r="H819" t="s">
        <v>38</v>
      </c>
      <c r="I819" t="s">
        <v>321</v>
      </c>
      <c r="J819" t="s">
        <v>362</v>
      </c>
      <c r="K819" t="s">
        <v>363</v>
      </c>
      <c r="L819" t="s">
        <v>38</v>
      </c>
      <c r="M819" t="s">
        <v>314</v>
      </c>
      <c r="N819" t="s">
        <v>360</v>
      </c>
    </row>
    <row r="820" spans="2:14">
      <c r="B820" t="s">
        <v>244</v>
      </c>
      <c r="C820">
        <v>1</v>
      </c>
      <c r="D820">
        <v>1</v>
      </c>
      <c r="E820">
        <v>5</v>
      </c>
      <c r="F820">
        <v>5</v>
      </c>
      <c r="G820">
        <v>1</v>
      </c>
      <c r="H820" t="s">
        <v>38</v>
      </c>
      <c r="I820" t="s">
        <v>321</v>
      </c>
      <c r="J820" t="s">
        <v>362</v>
      </c>
      <c r="K820" t="s">
        <v>363</v>
      </c>
      <c r="L820" t="s">
        <v>38</v>
      </c>
      <c r="M820" t="s">
        <v>314</v>
      </c>
      <c r="N820" t="s">
        <v>360</v>
      </c>
    </row>
    <row r="821" spans="2:14">
      <c r="B821" t="s">
        <v>240</v>
      </c>
      <c r="C821">
        <v>1</v>
      </c>
      <c r="D821">
        <v>1</v>
      </c>
      <c r="E821">
        <v>5</v>
      </c>
      <c r="F821">
        <v>5</v>
      </c>
      <c r="G821">
        <v>1</v>
      </c>
      <c r="H821" t="s">
        <v>38</v>
      </c>
      <c r="I821" t="s">
        <v>322</v>
      </c>
      <c r="J821" t="s">
        <v>362</v>
      </c>
      <c r="K821" t="s">
        <v>363</v>
      </c>
      <c r="L821" t="s">
        <v>38</v>
      </c>
      <c r="N821" t="s">
        <v>360</v>
      </c>
    </row>
    <row r="822" spans="2:14">
      <c r="B822" t="s">
        <v>243</v>
      </c>
      <c r="C822">
        <v>1</v>
      </c>
      <c r="D822">
        <v>1</v>
      </c>
      <c r="E822">
        <v>5</v>
      </c>
      <c r="F822">
        <v>5</v>
      </c>
      <c r="G822">
        <v>1</v>
      </c>
      <c r="H822" t="s">
        <v>38</v>
      </c>
      <c r="I822" t="s">
        <v>321</v>
      </c>
      <c r="J822" t="s">
        <v>362</v>
      </c>
      <c r="K822" t="s">
        <v>363</v>
      </c>
      <c r="L822" t="s">
        <v>38</v>
      </c>
      <c r="M822" t="s">
        <v>314</v>
      </c>
      <c r="N822" t="s">
        <v>360</v>
      </c>
    </row>
    <row r="823" spans="2:14">
      <c r="B823" t="s">
        <v>244</v>
      </c>
      <c r="C823">
        <v>1</v>
      </c>
      <c r="D823">
        <v>1</v>
      </c>
      <c r="E823">
        <v>5</v>
      </c>
      <c r="F823">
        <v>5</v>
      </c>
      <c r="G823">
        <v>1</v>
      </c>
      <c r="H823" t="s">
        <v>38</v>
      </c>
      <c r="I823" t="s">
        <v>321</v>
      </c>
      <c r="J823" t="s">
        <v>362</v>
      </c>
      <c r="K823" t="s">
        <v>363</v>
      </c>
      <c r="L823" t="s">
        <v>38</v>
      </c>
      <c r="M823" t="s">
        <v>314</v>
      </c>
      <c r="N823" t="s">
        <v>360</v>
      </c>
    </row>
    <row r="824" spans="2:14">
      <c r="B824" t="s">
        <v>240</v>
      </c>
      <c r="C824">
        <v>1</v>
      </c>
      <c r="D824">
        <v>1</v>
      </c>
      <c r="E824">
        <v>5</v>
      </c>
      <c r="F824">
        <v>5</v>
      </c>
      <c r="G824">
        <v>1</v>
      </c>
      <c r="H824" t="s">
        <v>38</v>
      </c>
      <c r="I824" t="s">
        <v>322</v>
      </c>
      <c r="J824" t="s">
        <v>362</v>
      </c>
      <c r="K824" t="s">
        <v>363</v>
      </c>
      <c r="L824" t="s">
        <v>38</v>
      </c>
      <c r="N824" t="s">
        <v>360</v>
      </c>
    </row>
    <row r="825" spans="2:14">
      <c r="B825" t="s">
        <v>243</v>
      </c>
      <c r="C825">
        <v>1</v>
      </c>
      <c r="D825">
        <v>1</v>
      </c>
      <c r="E825">
        <v>5</v>
      </c>
      <c r="F825">
        <v>5</v>
      </c>
      <c r="G825">
        <v>1</v>
      </c>
      <c r="H825" t="s">
        <v>38</v>
      </c>
      <c r="I825" t="s">
        <v>321</v>
      </c>
      <c r="J825" t="s">
        <v>362</v>
      </c>
      <c r="K825" t="s">
        <v>363</v>
      </c>
      <c r="L825" t="s">
        <v>38</v>
      </c>
      <c r="M825" t="s">
        <v>314</v>
      </c>
      <c r="N825" t="s">
        <v>360</v>
      </c>
    </row>
    <row r="826" spans="2:14">
      <c r="B826" t="s">
        <v>244</v>
      </c>
      <c r="C826">
        <v>1</v>
      </c>
      <c r="D826">
        <v>1</v>
      </c>
      <c r="E826">
        <v>5</v>
      </c>
      <c r="F826">
        <v>5</v>
      </c>
      <c r="G826">
        <v>1</v>
      </c>
      <c r="H826" t="s">
        <v>38</v>
      </c>
      <c r="I826" t="s">
        <v>321</v>
      </c>
      <c r="J826" t="s">
        <v>362</v>
      </c>
      <c r="K826" t="s">
        <v>363</v>
      </c>
      <c r="L826" t="s">
        <v>38</v>
      </c>
      <c r="M826" t="s">
        <v>314</v>
      </c>
      <c r="N826" t="s">
        <v>360</v>
      </c>
    </row>
    <row r="827" spans="2:14">
      <c r="B827" t="s">
        <v>240</v>
      </c>
      <c r="C827">
        <v>1</v>
      </c>
      <c r="D827">
        <v>1</v>
      </c>
      <c r="E827">
        <v>5</v>
      </c>
      <c r="F827">
        <v>5</v>
      </c>
      <c r="G827">
        <v>1</v>
      </c>
      <c r="H827" t="s">
        <v>38</v>
      </c>
      <c r="I827" t="s">
        <v>322</v>
      </c>
      <c r="J827" t="s">
        <v>362</v>
      </c>
      <c r="K827" t="s">
        <v>363</v>
      </c>
      <c r="L827" t="s">
        <v>38</v>
      </c>
      <c r="N827" t="s">
        <v>360</v>
      </c>
    </row>
    <row r="828" spans="2:14">
      <c r="B828" t="s">
        <v>242</v>
      </c>
      <c r="C828">
        <v>1</v>
      </c>
      <c r="D828">
        <v>1</v>
      </c>
      <c r="E828">
        <v>5</v>
      </c>
      <c r="F828">
        <v>5</v>
      </c>
      <c r="G828">
        <v>1</v>
      </c>
      <c r="H828" t="s">
        <v>38</v>
      </c>
      <c r="I828" t="s">
        <v>321</v>
      </c>
      <c r="J828" t="s">
        <v>362</v>
      </c>
      <c r="K828" t="s">
        <v>363</v>
      </c>
      <c r="L828" t="s">
        <v>38</v>
      </c>
      <c r="M828" t="s">
        <v>314</v>
      </c>
      <c r="N828" t="s">
        <v>360</v>
      </c>
    </row>
    <row r="829" spans="2:14">
      <c r="B829" t="s">
        <v>244</v>
      </c>
      <c r="C829">
        <v>1</v>
      </c>
      <c r="D829">
        <v>1</v>
      </c>
      <c r="E829">
        <v>5</v>
      </c>
      <c r="F829">
        <v>5</v>
      </c>
      <c r="G829">
        <v>1</v>
      </c>
      <c r="H829" t="s">
        <v>38</v>
      </c>
      <c r="I829" t="s">
        <v>321</v>
      </c>
      <c r="J829" t="s">
        <v>362</v>
      </c>
      <c r="K829" t="s">
        <v>363</v>
      </c>
      <c r="L829" t="s">
        <v>38</v>
      </c>
      <c r="M829" t="s">
        <v>314</v>
      </c>
      <c r="N829" t="s">
        <v>360</v>
      </c>
    </row>
    <row r="830" spans="2:14">
      <c r="B830" t="s">
        <v>240</v>
      </c>
      <c r="C830">
        <v>1</v>
      </c>
      <c r="D830">
        <v>1</v>
      </c>
      <c r="E830">
        <v>5</v>
      </c>
      <c r="F830">
        <v>5</v>
      </c>
      <c r="G830">
        <v>1</v>
      </c>
      <c r="H830" t="s">
        <v>38</v>
      </c>
      <c r="I830" t="s">
        <v>322</v>
      </c>
      <c r="J830" t="s">
        <v>362</v>
      </c>
      <c r="K830" t="s">
        <v>363</v>
      </c>
      <c r="L830" t="s">
        <v>38</v>
      </c>
      <c r="N830" t="s">
        <v>360</v>
      </c>
    </row>
    <row r="831" spans="2:14">
      <c r="B831" t="s">
        <v>242</v>
      </c>
      <c r="C831">
        <v>1</v>
      </c>
      <c r="E831">
        <v>5</v>
      </c>
      <c r="F831">
        <v>5</v>
      </c>
      <c r="H831" t="s">
        <v>38</v>
      </c>
      <c r="I831" t="s">
        <v>321</v>
      </c>
      <c r="J831" t="s">
        <v>362</v>
      </c>
      <c r="K831" t="s">
        <v>363</v>
      </c>
      <c r="L831" t="s">
        <v>38</v>
      </c>
      <c r="M831" t="s">
        <v>314</v>
      </c>
      <c r="N831" t="s">
        <v>360</v>
      </c>
    </row>
    <row r="832" spans="2:14">
      <c r="B832" t="s">
        <v>244</v>
      </c>
      <c r="C832">
        <v>1</v>
      </c>
      <c r="E832">
        <v>5</v>
      </c>
      <c r="F832">
        <v>5</v>
      </c>
      <c r="H832" t="s">
        <v>38</v>
      </c>
      <c r="I832" t="s">
        <v>321</v>
      </c>
      <c r="J832" t="s">
        <v>38</v>
      </c>
      <c r="K832" t="s">
        <v>363</v>
      </c>
      <c r="L832" t="s">
        <v>38</v>
      </c>
      <c r="M832" t="s">
        <v>314</v>
      </c>
      <c r="N832" t="s">
        <v>360</v>
      </c>
    </row>
    <row r="833" spans="2:14">
      <c r="B833" t="s">
        <v>131</v>
      </c>
      <c r="C833">
        <v>1</v>
      </c>
      <c r="E833">
        <v>5</v>
      </c>
      <c r="F833">
        <v>5</v>
      </c>
      <c r="H833" t="s">
        <v>38</v>
      </c>
      <c r="I833" t="s">
        <v>322</v>
      </c>
      <c r="J833" t="s">
        <v>38</v>
      </c>
      <c r="K833" t="s">
        <v>363</v>
      </c>
      <c r="L833" t="s">
        <v>38</v>
      </c>
      <c r="N833" t="s">
        <v>360</v>
      </c>
    </row>
    <row r="834" spans="2:14">
      <c r="B834" t="s">
        <v>127</v>
      </c>
      <c r="C834">
        <v>29</v>
      </c>
      <c r="E834">
        <v>5</v>
      </c>
      <c r="H834" t="s">
        <v>38</v>
      </c>
      <c r="I834" t="s">
        <v>322</v>
      </c>
      <c r="J834" t="s">
        <v>362</v>
      </c>
      <c r="K834" t="s">
        <v>363</v>
      </c>
      <c r="L834" t="s">
        <v>38</v>
      </c>
      <c r="N834" t="s">
        <v>360</v>
      </c>
    </row>
    <row r="835" spans="2:14">
      <c r="B835" t="s">
        <v>128</v>
      </c>
      <c r="C835">
        <v>29</v>
      </c>
      <c r="E835">
        <v>5</v>
      </c>
      <c r="H835" t="s">
        <v>38</v>
      </c>
      <c r="I835" t="s">
        <v>322</v>
      </c>
      <c r="J835" t="s">
        <v>362</v>
      </c>
      <c r="K835" t="s">
        <v>363</v>
      </c>
      <c r="L835" t="s">
        <v>38</v>
      </c>
      <c r="N835" t="s">
        <v>360</v>
      </c>
    </row>
    <row r="836" spans="2:14">
      <c r="B836" t="s">
        <v>127</v>
      </c>
      <c r="C836">
        <v>13</v>
      </c>
      <c r="E836">
        <v>5</v>
      </c>
      <c r="H836" t="s">
        <v>38</v>
      </c>
      <c r="I836" t="s">
        <v>322</v>
      </c>
      <c r="J836" t="s">
        <v>38</v>
      </c>
      <c r="K836" t="s">
        <v>38</v>
      </c>
      <c r="L836" t="s">
        <v>38</v>
      </c>
      <c r="N836" t="s">
        <v>360</v>
      </c>
    </row>
    <row r="837" spans="2:14">
      <c r="B837" t="s">
        <v>128</v>
      </c>
      <c r="C837">
        <v>13</v>
      </c>
      <c r="E837">
        <v>5</v>
      </c>
      <c r="H837" t="s">
        <v>38</v>
      </c>
      <c r="I837" t="s">
        <v>322</v>
      </c>
      <c r="J837" t="s">
        <v>38</v>
      </c>
      <c r="K837" t="s">
        <v>38</v>
      </c>
      <c r="L837" t="s">
        <v>38</v>
      </c>
      <c r="N837" t="s">
        <v>360</v>
      </c>
    </row>
    <row r="838" spans="2:14">
      <c r="B838" t="s">
        <v>63</v>
      </c>
      <c r="C838">
        <v>8</v>
      </c>
      <c r="E838">
        <v>5</v>
      </c>
      <c r="H838" t="s">
        <v>38</v>
      </c>
      <c r="I838" t="s">
        <v>322</v>
      </c>
      <c r="J838" t="s">
        <v>38</v>
      </c>
      <c r="K838" t="s">
        <v>38</v>
      </c>
      <c r="L838" t="s">
        <v>38</v>
      </c>
      <c r="N838" t="s">
        <v>360</v>
      </c>
    </row>
    <row r="839" spans="2:14">
      <c r="B839" t="s">
        <v>38</v>
      </c>
      <c r="C839">
        <v>1</v>
      </c>
      <c r="H839" t="s">
        <v>38</v>
      </c>
      <c r="I839" t="s">
        <v>38</v>
      </c>
      <c r="J839" t="s">
        <v>38</v>
      </c>
      <c r="K839" t="s">
        <v>38</v>
      </c>
      <c r="L839" t="s">
        <v>38</v>
      </c>
    </row>
    <row r="840" spans="2:14">
      <c r="B840" t="s">
        <v>38</v>
      </c>
      <c r="C840">
        <v>1</v>
      </c>
      <c r="H840" t="s">
        <v>38</v>
      </c>
      <c r="I840" t="s">
        <v>38</v>
      </c>
      <c r="J840" t="s">
        <v>38</v>
      </c>
      <c r="K840" t="s">
        <v>38</v>
      </c>
      <c r="L840" t="s">
        <v>38</v>
      </c>
    </row>
    <row r="841" spans="2:14">
      <c r="B841" t="s">
        <v>38</v>
      </c>
      <c r="C841">
        <v>1</v>
      </c>
      <c r="H841" t="s">
        <v>38</v>
      </c>
      <c r="I841" t="s">
        <v>38</v>
      </c>
      <c r="J841" t="s">
        <v>38</v>
      </c>
      <c r="K841" t="s">
        <v>38</v>
      </c>
      <c r="L841" t="s">
        <v>38</v>
      </c>
    </row>
    <row r="842" spans="2:14">
      <c r="B842" t="s">
        <v>38</v>
      </c>
      <c r="C842">
        <v>1</v>
      </c>
      <c r="H842" t="s">
        <v>38</v>
      </c>
      <c r="I842" t="s">
        <v>38</v>
      </c>
      <c r="J842" t="s">
        <v>38</v>
      </c>
      <c r="K842" t="s">
        <v>38</v>
      </c>
      <c r="L842" t="s">
        <v>38</v>
      </c>
    </row>
    <row r="843" spans="2:14">
      <c r="B843" t="s">
        <v>38</v>
      </c>
      <c r="C843">
        <v>1</v>
      </c>
      <c r="H843" t="s">
        <v>38</v>
      </c>
      <c r="I843" t="s">
        <v>38</v>
      </c>
      <c r="J843" t="s">
        <v>38</v>
      </c>
      <c r="K843" t="s">
        <v>38</v>
      </c>
      <c r="L843" t="s">
        <v>38</v>
      </c>
    </row>
    <row r="844" spans="2:14">
      <c r="B844" t="s">
        <v>38</v>
      </c>
      <c r="C844">
        <v>1</v>
      </c>
      <c r="H844" t="s">
        <v>38</v>
      </c>
      <c r="I844" t="s">
        <v>38</v>
      </c>
      <c r="J844" t="s">
        <v>38</v>
      </c>
      <c r="K844" t="s">
        <v>38</v>
      </c>
      <c r="L844" t="s">
        <v>38</v>
      </c>
    </row>
    <row r="845" spans="2:14">
      <c r="B845" t="s">
        <v>38</v>
      </c>
      <c r="C845">
        <v>1</v>
      </c>
      <c r="H845" t="s">
        <v>38</v>
      </c>
      <c r="I845" t="s">
        <v>38</v>
      </c>
      <c r="J845" t="s">
        <v>38</v>
      </c>
      <c r="K845" t="s">
        <v>38</v>
      </c>
      <c r="L845" t="s">
        <v>38</v>
      </c>
    </row>
    <row r="846" spans="2:14">
      <c r="B846" t="s">
        <v>38</v>
      </c>
      <c r="C846">
        <v>1</v>
      </c>
      <c r="H846" t="s">
        <v>38</v>
      </c>
      <c r="I846" t="s">
        <v>38</v>
      </c>
      <c r="J846" t="s">
        <v>38</v>
      </c>
      <c r="K846" t="s">
        <v>38</v>
      </c>
      <c r="L846" t="s">
        <v>38</v>
      </c>
    </row>
    <row r="847" spans="2:14">
      <c r="B847" t="s">
        <v>38</v>
      </c>
      <c r="C847">
        <v>1</v>
      </c>
      <c r="H847" t="s">
        <v>38</v>
      </c>
      <c r="I847" t="s">
        <v>38</v>
      </c>
      <c r="J847" t="s">
        <v>38</v>
      </c>
      <c r="K847" t="s">
        <v>38</v>
      </c>
      <c r="L847" t="s">
        <v>38</v>
      </c>
    </row>
    <row r="848" spans="2:14">
      <c r="B848" t="s">
        <v>38</v>
      </c>
      <c r="C848">
        <v>1</v>
      </c>
      <c r="H848" t="s">
        <v>38</v>
      </c>
      <c r="I848" t="s">
        <v>38</v>
      </c>
      <c r="J848" t="s">
        <v>38</v>
      </c>
      <c r="K848" t="s">
        <v>38</v>
      </c>
      <c r="L848" t="s">
        <v>38</v>
      </c>
    </row>
    <row r="849" spans="2:12">
      <c r="B849" t="s">
        <v>38</v>
      </c>
      <c r="C849">
        <v>1</v>
      </c>
      <c r="H849" t="s">
        <v>38</v>
      </c>
      <c r="I849" t="s">
        <v>38</v>
      </c>
      <c r="J849" t="s">
        <v>38</v>
      </c>
      <c r="K849" t="s">
        <v>38</v>
      </c>
      <c r="L849" t="s">
        <v>38</v>
      </c>
    </row>
    <row r="850" spans="2:12">
      <c r="B850" t="s">
        <v>38</v>
      </c>
      <c r="C850">
        <v>1</v>
      </c>
      <c r="H850" t="s">
        <v>38</v>
      </c>
      <c r="I850" t="s">
        <v>38</v>
      </c>
      <c r="J850" t="s">
        <v>38</v>
      </c>
      <c r="K850" t="s">
        <v>38</v>
      </c>
      <c r="L850" t="s">
        <v>38</v>
      </c>
    </row>
    <row r="851" spans="2:12">
      <c r="B851" t="s">
        <v>38</v>
      </c>
      <c r="C851">
        <v>1</v>
      </c>
      <c r="H851" t="s">
        <v>38</v>
      </c>
      <c r="I851" t="s">
        <v>38</v>
      </c>
      <c r="J851" t="s">
        <v>38</v>
      </c>
      <c r="K851" t="s">
        <v>38</v>
      </c>
      <c r="L851" t="s">
        <v>38</v>
      </c>
    </row>
    <row r="852" spans="2:12">
      <c r="B852" t="s">
        <v>38</v>
      </c>
      <c r="C852">
        <v>1</v>
      </c>
      <c r="H852" t="s">
        <v>38</v>
      </c>
      <c r="I852" t="s">
        <v>38</v>
      </c>
      <c r="J852" t="s">
        <v>38</v>
      </c>
      <c r="K852" t="s">
        <v>38</v>
      </c>
      <c r="L852" t="s">
        <v>38</v>
      </c>
    </row>
    <row r="853" spans="2:12">
      <c r="B853" t="s">
        <v>38</v>
      </c>
      <c r="C853">
        <v>1</v>
      </c>
      <c r="H853" t="s">
        <v>38</v>
      </c>
      <c r="I853" t="s">
        <v>38</v>
      </c>
      <c r="J853" t="s">
        <v>38</v>
      </c>
      <c r="K853" t="s">
        <v>38</v>
      </c>
      <c r="L853" t="s">
        <v>38</v>
      </c>
    </row>
    <row r="854" spans="2:12">
      <c r="B854" t="s">
        <v>38</v>
      </c>
      <c r="C854">
        <v>1</v>
      </c>
      <c r="H854" t="s">
        <v>38</v>
      </c>
      <c r="I854" t="s">
        <v>38</v>
      </c>
      <c r="J854" t="s">
        <v>38</v>
      </c>
      <c r="K854" t="s">
        <v>38</v>
      </c>
      <c r="L854" t="s">
        <v>38</v>
      </c>
    </row>
    <row r="855" spans="2:12">
      <c r="B855" t="s">
        <v>38</v>
      </c>
      <c r="C855">
        <v>1</v>
      </c>
      <c r="H855" t="s">
        <v>38</v>
      </c>
      <c r="I855" t="s">
        <v>38</v>
      </c>
      <c r="J855" t="s">
        <v>38</v>
      </c>
      <c r="K855" t="s">
        <v>38</v>
      </c>
      <c r="L855" t="s">
        <v>38</v>
      </c>
    </row>
    <row r="856" spans="2:12">
      <c r="B856" t="s">
        <v>38</v>
      </c>
      <c r="C856">
        <v>1</v>
      </c>
      <c r="H856" t="s">
        <v>38</v>
      </c>
      <c r="I856" t="s">
        <v>38</v>
      </c>
      <c r="J856" t="s">
        <v>38</v>
      </c>
      <c r="K856" t="s">
        <v>38</v>
      </c>
      <c r="L856" t="s">
        <v>38</v>
      </c>
    </row>
    <row r="857" spans="2:12">
      <c r="B857" t="s">
        <v>38</v>
      </c>
      <c r="C857">
        <v>1</v>
      </c>
      <c r="H857" t="s">
        <v>38</v>
      </c>
      <c r="I857" t="s">
        <v>38</v>
      </c>
      <c r="J857" t="s">
        <v>38</v>
      </c>
      <c r="K857" t="s">
        <v>38</v>
      </c>
      <c r="L857" t="s">
        <v>38</v>
      </c>
    </row>
    <row r="858" spans="2:12">
      <c r="B858" t="s">
        <v>38</v>
      </c>
      <c r="C858">
        <v>1</v>
      </c>
      <c r="H858" t="s">
        <v>38</v>
      </c>
      <c r="I858" t="s">
        <v>38</v>
      </c>
      <c r="J858" t="s">
        <v>38</v>
      </c>
      <c r="K858" t="s">
        <v>38</v>
      </c>
      <c r="L858" t="s">
        <v>38</v>
      </c>
    </row>
    <row r="859" spans="2:12">
      <c r="B859" t="s">
        <v>38</v>
      </c>
      <c r="C859">
        <v>1</v>
      </c>
      <c r="H859" t="s">
        <v>38</v>
      </c>
      <c r="I859" t="s">
        <v>38</v>
      </c>
      <c r="J859" t="s">
        <v>38</v>
      </c>
      <c r="K859" t="s">
        <v>38</v>
      </c>
      <c r="L859" t="s">
        <v>38</v>
      </c>
    </row>
    <row r="860" spans="2:12">
      <c r="B860" t="s">
        <v>38</v>
      </c>
      <c r="C860">
        <v>1</v>
      </c>
      <c r="H860" t="s">
        <v>38</v>
      </c>
      <c r="I860" t="s">
        <v>38</v>
      </c>
      <c r="J860" t="s">
        <v>38</v>
      </c>
      <c r="K860" t="s">
        <v>38</v>
      </c>
      <c r="L860" t="s">
        <v>38</v>
      </c>
    </row>
    <row r="861" spans="2:12">
      <c r="B861" t="s">
        <v>38</v>
      </c>
      <c r="C861">
        <v>1</v>
      </c>
      <c r="H861" t="s">
        <v>38</v>
      </c>
      <c r="I861" t="s">
        <v>38</v>
      </c>
      <c r="J861" t="s">
        <v>38</v>
      </c>
      <c r="K861" t="s">
        <v>38</v>
      </c>
      <c r="L861" t="s">
        <v>38</v>
      </c>
    </row>
    <row r="862" spans="2:12">
      <c r="B862" t="s">
        <v>38</v>
      </c>
      <c r="C862">
        <v>1</v>
      </c>
      <c r="H862" t="s">
        <v>38</v>
      </c>
      <c r="I862" t="s">
        <v>38</v>
      </c>
      <c r="J862" t="s">
        <v>38</v>
      </c>
      <c r="K862" t="s">
        <v>38</v>
      </c>
      <c r="L862" t="s">
        <v>38</v>
      </c>
    </row>
    <row r="863" spans="2:12">
      <c r="B863" t="s">
        <v>38</v>
      </c>
      <c r="C863">
        <v>1</v>
      </c>
      <c r="H863" t="s">
        <v>38</v>
      </c>
      <c r="I863" t="s">
        <v>38</v>
      </c>
      <c r="J863" t="s">
        <v>38</v>
      </c>
      <c r="K863" t="s">
        <v>38</v>
      </c>
      <c r="L863" t="s">
        <v>38</v>
      </c>
    </row>
    <row r="864" spans="2:12">
      <c r="B864" t="s">
        <v>38</v>
      </c>
      <c r="C864">
        <v>1</v>
      </c>
      <c r="H864" t="s">
        <v>38</v>
      </c>
      <c r="I864" t="s">
        <v>38</v>
      </c>
      <c r="J864" t="s">
        <v>38</v>
      </c>
      <c r="K864" t="s">
        <v>38</v>
      </c>
      <c r="L864" t="s">
        <v>38</v>
      </c>
    </row>
  </sheetData>
  <mergeCells count="1">
    <mergeCell ref="A4:A5"/>
  </mergeCells>
  <pageMargins left="0.75" right="0.75" top="1" bottom="1" header="0.5" footer="0.5"/>
  <headerFooter/>
  <ignoredErrors>
    <ignoredError sqref="A1:P864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2"/>
  <sheetViews>
    <sheetView workbookViewId="0">
      <selection activeCell="A1" sqref="A1"/>
    </sheetView>
  </sheetViews>
  <sheetFormatPr defaultColWidth="9" defaultRowHeight="15.6"/>
  <sheetData>
    <row r="1" spans="1:17">
      <c r="A1" t="s">
        <v>366</v>
      </c>
      <c r="B1" t="s">
        <v>367</v>
      </c>
      <c r="C1" t="s">
        <v>368</v>
      </c>
      <c r="D1" t="s">
        <v>369</v>
      </c>
      <c r="E1" t="s">
        <v>112</v>
      </c>
      <c r="F1" t="s">
        <v>370</v>
      </c>
      <c r="G1" t="s">
        <v>114</v>
      </c>
      <c r="H1" t="s">
        <v>371</v>
      </c>
      <c r="I1" t="s">
        <v>372</v>
      </c>
      <c r="J1" t="s">
        <v>373</v>
      </c>
      <c r="K1" t="s">
        <v>118</v>
      </c>
      <c r="L1" t="s">
        <v>374</v>
      </c>
      <c r="M1" t="s">
        <v>375</v>
      </c>
      <c r="N1" t="s">
        <v>376</v>
      </c>
      <c r="O1" t="s">
        <v>377</v>
      </c>
      <c r="P1" t="s">
        <v>378</v>
      </c>
      <c r="Q1" t="s">
        <v>379</v>
      </c>
    </row>
    <row r="2" spans="1:17">
      <c r="A2" t="s">
        <v>38</v>
      </c>
    </row>
    <row r="3" spans="1:17">
      <c r="A3" t="s">
        <v>304</v>
      </c>
      <c r="C3">
        <v>0.2</v>
      </c>
    </row>
    <row r="4" spans="1:17">
      <c r="A4" t="s">
        <v>380</v>
      </c>
      <c r="C4">
        <v>0.1</v>
      </c>
    </row>
    <row r="5" spans="1:17">
      <c r="A5" t="s">
        <v>305</v>
      </c>
      <c r="C5">
        <v>0.4</v>
      </c>
    </row>
    <row r="6" spans="1:17">
      <c r="A6" t="s">
        <v>309</v>
      </c>
      <c r="B6" t="s">
        <v>62</v>
      </c>
      <c r="D6">
        <v>0.075</v>
      </c>
    </row>
    <row r="7" spans="1:17">
      <c r="A7" t="s">
        <v>310</v>
      </c>
      <c r="B7" t="s">
        <v>62</v>
      </c>
      <c r="D7">
        <v>0.125</v>
      </c>
    </row>
    <row r="8" spans="1:17">
      <c r="A8" t="s">
        <v>311</v>
      </c>
      <c r="C8">
        <v>0.08</v>
      </c>
      <c r="E8">
        <v>0.3</v>
      </c>
    </row>
    <row r="9" spans="1:17">
      <c r="A9" t="s">
        <v>381</v>
      </c>
      <c r="C9">
        <v>0.15</v>
      </c>
    </row>
    <row r="10" spans="1:17">
      <c r="A10" t="s">
        <v>382</v>
      </c>
      <c r="C10">
        <v>0.25</v>
      </c>
    </row>
    <row r="11" spans="1:17">
      <c r="A11" t="s">
        <v>325</v>
      </c>
      <c r="L11">
        <v>0.1</v>
      </c>
    </row>
    <row r="12" spans="1:17">
      <c r="A12" t="s">
        <v>383</v>
      </c>
      <c r="O12">
        <v>10</v>
      </c>
    </row>
    <row r="13" spans="1:17">
      <c r="A13" t="s">
        <v>327</v>
      </c>
      <c r="C13">
        <v>0.1</v>
      </c>
      <c r="L13">
        <v>0.1</v>
      </c>
      <c r="O13">
        <v>10</v>
      </c>
    </row>
    <row r="14" spans="1:17">
      <c r="A14" t="s">
        <v>328</v>
      </c>
      <c r="E14">
        <v>0.1</v>
      </c>
      <c r="F14">
        <v>0.5</v>
      </c>
    </row>
    <row r="15" spans="1:17">
      <c r="A15" t="s">
        <v>184</v>
      </c>
      <c r="B15" t="s">
        <v>91</v>
      </c>
      <c r="C15">
        <v>0.8</v>
      </c>
      <c r="M15">
        <v>0.24</v>
      </c>
    </row>
    <row r="16" spans="1:17">
      <c r="A16" t="s">
        <v>312</v>
      </c>
      <c r="C16">
        <v>0.45</v>
      </c>
    </row>
    <row r="17" spans="1:14">
      <c r="A17" t="s">
        <v>316</v>
      </c>
      <c r="C17">
        <v>0.08</v>
      </c>
    </row>
    <row r="18" spans="1:14">
      <c r="A18" t="s">
        <v>329</v>
      </c>
      <c r="C18">
        <v>0.1</v>
      </c>
    </row>
    <row r="19" spans="1:14">
      <c r="A19" t="s">
        <v>384</v>
      </c>
      <c r="C19">
        <v>0.15</v>
      </c>
    </row>
    <row r="20" spans="1:14">
      <c r="A20" t="s">
        <v>385</v>
      </c>
      <c r="C20">
        <v>0.2</v>
      </c>
    </row>
    <row r="21" spans="1:14">
      <c r="A21" t="s">
        <v>331</v>
      </c>
      <c r="B21" t="s">
        <v>53</v>
      </c>
      <c r="C21">
        <v>0.25</v>
      </c>
    </row>
    <row r="22" spans="1:14">
      <c r="A22" t="s">
        <v>332</v>
      </c>
      <c r="B22" t="s">
        <v>53</v>
      </c>
      <c r="C22">
        <v>0.05</v>
      </c>
    </row>
    <row r="23" spans="1:14">
      <c r="A23" t="s">
        <v>334</v>
      </c>
      <c r="C23">
        <v>0.5</v>
      </c>
    </row>
    <row r="24" spans="1:14">
      <c r="A24" t="s">
        <v>335</v>
      </c>
      <c r="N24">
        <v>15</v>
      </c>
    </row>
    <row r="25" spans="1:14">
      <c r="A25" t="s">
        <v>330</v>
      </c>
      <c r="B25" t="s">
        <v>54</v>
      </c>
      <c r="G25">
        <v>0.03</v>
      </c>
      <c r="H25">
        <v>0.1</v>
      </c>
    </row>
    <row r="26" spans="1:14">
      <c r="A26" t="s">
        <v>342</v>
      </c>
      <c r="H26">
        <v>0.18</v>
      </c>
    </row>
    <row r="27" spans="1:14">
      <c r="A27" t="s">
        <v>343</v>
      </c>
      <c r="H27">
        <v>0.18</v>
      </c>
    </row>
    <row r="28" spans="1:14">
      <c r="A28" t="s">
        <v>337</v>
      </c>
      <c r="B28" t="s">
        <v>42</v>
      </c>
      <c r="J28">
        <v>0.03</v>
      </c>
    </row>
    <row r="29" spans="1:14">
      <c r="A29" t="s">
        <v>344</v>
      </c>
      <c r="C29">
        <v>0.09</v>
      </c>
    </row>
    <row r="30" spans="1:14">
      <c r="A30" t="s">
        <v>338</v>
      </c>
      <c r="H30">
        <v>-0.18</v>
      </c>
    </row>
    <row r="31" spans="1:14">
      <c r="A31" t="s">
        <v>352</v>
      </c>
      <c r="K31">
        <v>4</v>
      </c>
    </row>
    <row r="32" spans="1:14">
      <c r="A32" t="s">
        <v>354</v>
      </c>
      <c r="K32">
        <v>8</v>
      </c>
    </row>
    <row r="33" spans="1:11">
      <c r="A33" t="s">
        <v>356</v>
      </c>
      <c r="K33">
        <v>10</v>
      </c>
    </row>
    <row r="34" spans="1:11">
      <c r="A34" t="s">
        <v>349</v>
      </c>
      <c r="C34">
        <v>0.05</v>
      </c>
      <c r="F34">
        <v>0.27</v>
      </c>
    </row>
    <row r="35" spans="1:11">
      <c r="A35" t="s">
        <v>358</v>
      </c>
      <c r="C35">
        <v>0.2</v>
      </c>
    </row>
    <row r="36" spans="1:11">
      <c r="A36" t="s">
        <v>353</v>
      </c>
      <c r="B36" t="s">
        <v>100</v>
      </c>
      <c r="F36">
        <v>0.06</v>
      </c>
    </row>
    <row r="37" spans="1:11">
      <c r="A37" t="s">
        <v>355</v>
      </c>
      <c r="B37" t="s">
        <v>100</v>
      </c>
      <c r="F37">
        <v>0.12</v>
      </c>
    </row>
    <row r="38" spans="1:11">
      <c r="A38" t="s">
        <v>357</v>
      </c>
      <c r="B38" t="s">
        <v>100</v>
      </c>
      <c r="F38">
        <v>0.15</v>
      </c>
    </row>
    <row r="39" spans="1:11">
      <c r="A39" t="s">
        <v>386</v>
      </c>
      <c r="B39" t="s">
        <v>387</v>
      </c>
    </row>
    <row r="40" spans="1:11">
      <c r="A40" t="s">
        <v>307</v>
      </c>
      <c r="B40" t="s">
        <v>387</v>
      </c>
    </row>
    <row r="41" spans="1:11">
      <c r="A41" t="s">
        <v>308</v>
      </c>
      <c r="B41" t="s">
        <v>387</v>
      </c>
    </row>
    <row r="42" spans="1:11">
      <c r="A42" t="s">
        <v>306</v>
      </c>
      <c r="B42" t="s">
        <v>306</v>
      </c>
      <c r="H42">
        <v>0.1</v>
      </c>
      <c r="J42">
        <v>0.075</v>
      </c>
    </row>
    <row r="43" spans="1:11">
      <c r="A43" t="s">
        <v>326</v>
      </c>
      <c r="B43" t="s">
        <v>287</v>
      </c>
      <c r="C43">
        <v>0.12</v>
      </c>
    </row>
    <row r="44" spans="1:11">
      <c r="A44" t="s">
        <v>346</v>
      </c>
      <c r="B44" t="s">
        <v>288</v>
      </c>
      <c r="C44">
        <v>0.02</v>
      </c>
    </row>
    <row r="45" spans="1:11">
      <c r="A45" t="s">
        <v>348</v>
      </c>
      <c r="B45" t="s">
        <v>288</v>
      </c>
      <c r="C45">
        <v>0.12</v>
      </c>
    </row>
    <row r="46" spans="1:11">
      <c r="A46" t="s">
        <v>351</v>
      </c>
      <c r="B46" t="s">
        <v>288</v>
      </c>
      <c r="C46">
        <v>0.2</v>
      </c>
    </row>
    <row r="47" spans="1:11">
      <c r="A47" t="s">
        <v>359</v>
      </c>
      <c r="B47" t="s">
        <v>288</v>
      </c>
      <c r="C47">
        <v>0.15</v>
      </c>
    </row>
    <row r="48" spans="1:11">
      <c r="A48" t="s">
        <v>345</v>
      </c>
      <c r="B48" t="s">
        <v>99</v>
      </c>
      <c r="C48">
        <v>0.05</v>
      </c>
    </row>
    <row r="49" spans="1:17">
      <c r="A49" t="s">
        <v>347</v>
      </c>
      <c r="B49" t="s">
        <v>99</v>
      </c>
      <c r="C49">
        <v>0.1</v>
      </c>
    </row>
    <row r="50" spans="1:17">
      <c r="A50" t="s">
        <v>350</v>
      </c>
      <c r="B50" t="s">
        <v>99</v>
      </c>
      <c r="C50">
        <v>0.15</v>
      </c>
    </row>
    <row r="51" spans="1:17">
      <c r="A51" t="s">
        <v>333</v>
      </c>
      <c r="C51">
        <v>0.15</v>
      </c>
    </row>
    <row r="52" spans="1:17">
      <c r="A52" t="s">
        <v>324</v>
      </c>
      <c r="C52">
        <v>0.02</v>
      </c>
    </row>
    <row r="53" spans="1:17">
      <c r="A53" t="s">
        <v>339</v>
      </c>
      <c r="C53">
        <v>0.2</v>
      </c>
    </row>
    <row r="54" spans="1:17">
      <c r="A54" t="s">
        <v>388</v>
      </c>
      <c r="B54" t="s">
        <v>388</v>
      </c>
      <c r="C54">
        <v>0.1</v>
      </c>
    </row>
    <row r="55" spans="1:17">
      <c r="A55" t="s">
        <v>336</v>
      </c>
      <c r="B55" t="s">
        <v>41</v>
      </c>
      <c r="C55">
        <v>0.02</v>
      </c>
    </row>
    <row r="56" spans="1:17">
      <c r="A56" t="s">
        <v>340</v>
      </c>
      <c r="B56" t="s">
        <v>41</v>
      </c>
      <c r="C56">
        <v>0.05</v>
      </c>
    </row>
    <row r="57" spans="1:17">
      <c r="A57" t="s">
        <v>341</v>
      </c>
      <c r="B57" t="s">
        <v>41</v>
      </c>
      <c r="C57">
        <v>0.1</v>
      </c>
    </row>
    <row r="58" spans="1:17">
      <c r="A58" t="s">
        <v>362</v>
      </c>
      <c r="C58">
        <v>0.12</v>
      </c>
    </row>
    <row r="59" spans="1:17">
      <c r="A59" t="s">
        <v>363</v>
      </c>
      <c r="C59">
        <v>0.08</v>
      </c>
      <c r="N59">
        <v>8</v>
      </c>
      <c r="O59">
        <v>8</v>
      </c>
      <c r="P59">
        <v>8</v>
      </c>
      <c r="Q59">
        <v>8</v>
      </c>
    </row>
    <row r="60" spans="1:17">
      <c r="A60" t="s">
        <v>364</v>
      </c>
      <c r="B60" t="s">
        <v>82</v>
      </c>
      <c r="C60">
        <v>0.15</v>
      </c>
      <c r="F60">
        <v>0.1</v>
      </c>
    </row>
    <row r="61" spans="1:17">
      <c r="A61" t="s">
        <v>315</v>
      </c>
      <c r="B61" t="s">
        <v>74</v>
      </c>
      <c r="F61">
        <v>0.02</v>
      </c>
      <c r="K61">
        <v>2</v>
      </c>
    </row>
    <row r="62" spans="1:17">
      <c r="A62" t="s">
        <v>313</v>
      </c>
      <c r="B62" t="s">
        <v>74</v>
      </c>
      <c r="F62">
        <v>0.03</v>
      </c>
      <c r="K62">
        <v>3</v>
      </c>
    </row>
    <row r="63" spans="1:17">
      <c r="A63" t="s">
        <v>318</v>
      </c>
      <c r="B63" t="s">
        <v>74</v>
      </c>
      <c r="F63">
        <v>0.04</v>
      </c>
      <c r="K63">
        <v>4</v>
      </c>
    </row>
    <row r="64" spans="1:17">
      <c r="A64" t="s">
        <v>317</v>
      </c>
      <c r="B64" t="s">
        <v>74</v>
      </c>
      <c r="F64">
        <v>0.06</v>
      </c>
      <c r="K64">
        <v>6</v>
      </c>
    </row>
    <row r="65" spans="1:16">
      <c r="A65" t="s">
        <v>361</v>
      </c>
      <c r="B65" t="s">
        <v>74</v>
      </c>
      <c r="F65">
        <v>0.06</v>
      </c>
      <c r="K65">
        <v>6</v>
      </c>
    </row>
    <row r="66" spans="1:16">
      <c r="A66" t="s">
        <v>319</v>
      </c>
      <c r="B66" t="s">
        <v>74</v>
      </c>
      <c r="F66">
        <v>0.09</v>
      </c>
      <c r="K66">
        <v>9</v>
      </c>
    </row>
    <row r="67" spans="1:16">
      <c r="A67" t="s">
        <v>323</v>
      </c>
      <c r="B67" t="s">
        <v>74</v>
      </c>
      <c r="F67">
        <v>0.08</v>
      </c>
      <c r="K67">
        <v>8</v>
      </c>
    </row>
    <row r="68" spans="1:16">
      <c r="A68" t="s">
        <v>320</v>
      </c>
      <c r="B68" t="s">
        <v>74</v>
      </c>
      <c r="F68">
        <v>0.12</v>
      </c>
      <c r="K68">
        <v>12</v>
      </c>
    </row>
    <row r="69" spans="1:16">
      <c r="A69" t="s">
        <v>322</v>
      </c>
      <c r="B69" t="s">
        <v>74</v>
      </c>
      <c r="F69">
        <v>0.1</v>
      </c>
      <c r="K69">
        <v>10</v>
      </c>
    </row>
    <row r="70" spans="1:16">
      <c r="A70" t="s">
        <v>321</v>
      </c>
      <c r="B70" t="s">
        <v>74</v>
      </c>
      <c r="F70">
        <v>0.15</v>
      </c>
      <c r="K70">
        <v>15</v>
      </c>
    </row>
    <row r="71" spans="1:16">
      <c r="A71" t="s">
        <v>314</v>
      </c>
      <c r="B71" t="s">
        <v>314</v>
      </c>
      <c r="C71">
        <v>0.05</v>
      </c>
    </row>
    <row r="72" spans="1:16">
      <c r="A72" t="s">
        <v>360</v>
      </c>
      <c r="P72">
        <v>12</v>
      </c>
    </row>
  </sheetData>
  <pageMargins left="0.75" right="0.75" top="1" bottom="1" header="0.5" footer="0.5"/>
  <headerFooter/>
  <ignoredErrors>
    <ignoredError sqref="A1:Q7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A1" sqref="A1"/>
    </sheetView>
  </sheetViews>
  <sheetFormatPr defaultColWidth="9" defaultRowHeight="15.6" outlineLevelCol="5"/>
  <sheetData>
    <row r="1" spans="1:6">
      <c r="A1" t="s">
        <v>389</v>
      </c>
      <c r="B1" t="s">
        <v>369</v>
      </c>
      <c r="C1" t="s">
        <v>370</v>
      </c>
      <c r="D1" t="s">
        <v>372</v>
      </c>
      <c r="E1" t="s">
        <v>390</v>
      </c>
      <c r="F1" t="s">
        <v>2</v>
      </c>
    </row>
    <row r="2" spans="1:6">
      <c r="A2" t="s">
        <v>283</v>
      </c>
      <c r="B2">
        <v>0.1</v>
      </c>
    </row>
    <row r="3" spans="1:6">
      <c r="A3" t="s">
        <v>306</v>
      </c>
    </row>
    <row r="4" spans="1:6">
      <c r="A4" t="s">
        <v>286</v>
      </c>
      <c r="C4">
        <v>0.25</v>
      </c>
    </row>
    <row r="5" spans="1:6">
      <c r="A5" t="s">
        <v>391</v>
      </c>
      <c r="C5">
        <v>0.1</v>
      </c>
    </row>
    <row r="6" spans="1:6">
      <c r="A6" t="s">
        <v>392</v>
      </c>
      <c r="C6">
        <v>0.15</v>
      </c>
      <c r="D6">
        <v>0.05</v>
      </c>
    </row>
    <row r="7" spans="1:6">
      <c r="A7" t="s">
        <v>287</v>
      </c>
      <c r="E7">
        <v>0.1</v>
      </c>
    </row>
    <row r="8" spans="1:6">
      <c r="A8" t="s">
        <v>388</v>
      </c>
    </row>
    <row r="9" spans="1:6">
      <c r="A9" t="s">
        <v>393</v>
      </c>
      <c r="F9">
        <v>0.05</v>
      </c>
    </row>
    <row r="10" spans="1:6">
      <c r="A10" t="s">
        <v>387</v>
      </c>
    </row>
    <row r="11" spans="1:6">
      <c r="A11" t="s">
        <v>288</v>
      </c>
    </row>
    <row r="12" spans="1:6">
      <c r="A12" t="s">
        <v>314</v>
      </c>
      <c r="F12">
        <v>0.05</v>
      </c>
    </row>
  </sheetData>
  <pageMargins left="0.75" right="0.75" top="1" bottom="1" header="0.5" footer="0.5"/>
  <headerFooter/>
  <ignoredErrors>
    <ignoredError sqref="A1:F12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7"/>
  <sheetViews>
    <sheetView workbookViewId="0">
      <selection activeCell="A1" sqref="A1"/>
    </sheetView>
  </sheetViews>
  <sheetFormatPr defaultColWidth="9" defaultRowHeight="15.6" outlineLevelCol="2"/>
  <sheetData>
    <row r="1" spans="1:3">
      <c r="A1" t="s">
        <v>394</v>
      </c>
      <c r="B1" t="s">
        <v>395</v>
      </c>
      <c r="C1" t="s">
        <v>396</v>
      </c>
    </row>
    <row r="2" spans="1:3">
      <c r="A2" t="s">
        <v>397</v>
      </c>
      <c r="B2">
        <v>40.4</v>
      </c>
      <c r="C2">
        <f>B2</f>
        <v>40.4</v>
      </c>
    </row>
    <row r="3" spans="1:3">
      <c r="A3" t="s">
        <v>398</v>
      </c>
      <c r="B3">
        <f>B2</f>
        <v>40.4</v>
      </c>
      <c r="C3">
        <f>B3</f>
        <v>40.4</v>
      </c>
    </row>
    <row r="4" spans="1:3">
      <c r="A4" t="s">
        <v>399</v>
      </c>
      <c r="B4">
        <f>B2</f>
        <v>40.4</v>
      </c>
      <c r="C4">
        <f>B4</f>
        <v>40.4</v>
      </c>
    </row>
    <row r="5" spans="1:3">
      <c r="A5" t="s">
        <v>251</v>
      </c>
      <c r="B5">
        <v>63.8</v>
      </c>
      <c r="C5">
        <f>B5</f>
        <v>63.8</v>
      </c>
    </row>
    <row r="6" spans="1:3">
      <c r="A6" t="s">
        <v>250</v>
      </c>
      <c r="B6">
        <f>B5</f>
        <v>63.8</v>
      </c>
      <c r="C6">
        <f>B6</f>
        <v>63.8</v>
      </c>
    </row>
    <row r="7" spans="1:3">
      <c r="A7" t="s">
        <v>265</v>
      </c>
      <c r="B7">
        <v>0.066</v>
      </c>
      <c r="C7">
        <f>B7*0.889</f>
        <v>0.058674</v>
      </c>
    </row>
    <row r="8" spans="1:3">
      <c r="A8" t="s">
        <v>266</v>
      </c>
      <c r="B8">
        <v>0.074</v>
      </c>
      <c r="C8">
        <f>B8*0.69</f>
        <v>0.05106</v>
      </c>
    </row>
    <row r="9" spans="1:3">
      <c r="A9" t="s">
        <v>267</v>
      </c>
      <c r="B9">
        <v>0.036</v>
      </c>
      <c r="C9">
        <f>B9*0.69</f>
        <v>0.02484</v>
      </c>
    </row>
    <row r="10" spans="1:3">
      <c r="A10" t="s">
        <v>274</v>
      </c>
      <c r="B10">
        <v>0.026</v>
      </c>
      <c r="C10">
        <f t="shared" ref="C10:C27" si="0">B10</f>
        <v>0.026</v>
      </c>
    </row>
    <row r="11" spans="1:3">
      <c r="A11" t="s">
        <v>31</v>
      </c>
      <c r="B11">
        <v>0.052</v>
      </c>
      <c r="C11">
        <f t="shared" si="0"/>
        <v>0.052</v>
      </c>
    </row>
    <row r="12" spans="1:3">
      <c r="A12" t="s">
        <v>32</v>
      </c>
      <c r="B12">
        <v>0.052</v>
      </c>
      <c r="C12">
        <f t="shared" si="0"/>
        <v>0.052</v>
      </c>
    </row>
    <row r="13" spans="1:3">
      <c r="A13" t="s">
        <v>275</v>
      </c>
      <c r="B13">
        <v>0.026</v>
      </c>
      <c r="C13">
        <f t="shared" si="0"/>
        <v>0.026</v>
      </c>
    </row>
    <row r="14" spans="1:3">
      <c r="A14" t="s">
        <v>139</v>
      </c>
      <c r="B14">
        <v>0.08</v>
      </c>
      <c r="C14">
        <f t="shared" si="0"/>
        <v>0.08</v>
      </c>
    </row>
    <row r="15" spans="1:3">
      <c r="A15" t="s">
        <v>135</v>
      </c>
      <c r="B15">
        <f>B14</f>
        <v>0.08</v>
      </c>
      <c r="C15">
        <f t="shared" si="0"/>
        <v>0.08</v>
      </c>
    </row>
    <row r="16" spans="1:3">
      <c r="A16" t="s">
        <v>147</v>
      </c>
      <c r="B16">
        <f>B14</f>
        <v>0.08</v>
      </c>
      <c r="C16">
        <f t="shared" si="0"/>
        <v>0.08</v>
      </c>
    </row>
    <row r="17" spans="1:3">
      <c r="A17" t="s">
        <v>151</v>
      </c>
      <c r="B17">
        <f>B14</f>
        <v>0.08</v>
      </c>
      <c r="C17">
        <f t="shared" si="0"/>
        <v>0.08</v>
      </c>
    </row>
    <row r="18" spans="1:3">
      <c r="A18" t="s">
        <v>400</v>
      </c>
      <c r="B18">
        <v>36.2</v>
      </c>
      <c r="C18">
        <f t="shared" si="0"/>
        <v>36.2</v>
      </c>
    </row>
    <row r="19" spans="1:3">
      <c r="A19" t="s">
        <v>401</v>
      </c>
      <c r="B19">
        <f>B18</f>
        <v>36.2</v>
      </c>
      <c r="C19">
        <f t="shared" si="0"/>
        <v>36.2</v>
      </c>
    </row>
    <row r="20" spans="1:3">
      <c r="A20" t="s">
        <v>402</v>
      </c>
      <c r="B20">
        <f>B18</f>
        <v>36.2</v>
      </c>
      <c r="C20">
        <f t="shared" si="0"/>
        <v>36.2</v>
      </c>
    </row>
    <row r="21" spans="1:3">
      <c r="A21" t="s">
        <v>403</v>
      </c>
      <c r="B21">
        <f>B18</f>
        <v>36.2</v>
      </c>
      <c r="C21">
        <f t="shared" si="0"/>
        <v>36.2</v>
      </c>
    </row>
    <row r="22" spans="1:3">
      <c r="A22" t="s">
        <v>404</v>
      </c>
      <c r="B22">
        <f>B18</f>
        <v>36.2</v>
      </c>
      <c r="C22">
        <f t="shared" si="0"/>
        <v>36.2</v>
      </c>
    </row>
    <row r="23" spans="1:3">
      <c r="A23" t="s">
        <v>405</v>
      </c>
      <c r="B23">
        <f>B18</f>
        <v>36.2</v>
      </c>
      <c r="C23">
        <f t="shared" si="0"/>
        <v>36.2</v>
      </c>
    </row>
    <row r="24" spans="1:3">
      <c r="A24" t="s">
        <v>406</v>
      </c>
      <c r="B24">
        <f>B18</f>
        <v>36.2</v>
      </c>
      <c r="C24">
        <f t="shared" si="0"/>
        <v>36.2</v>
      </c>
    </row>
    <row r="25" spans="1:3">
      <c r="A25" t="s">
        <v>407</v>
      </c>
      <c r="B25">
        <f>B18</f>
        <v>36.2</v>
      </c>
      <c r="C25">
        <f t="shared" si="0"/>
        <v>36.2</v>
      </c>
    </row>
    <row r="26" spans="1:3">
      <c r="A26" t="s">
        <v>252</v>
      </c>
      <c r="B26">
        <v>9</v>
      </c>
      <c r="C26">
        <f t="shared" si="0"/>
        <v>9</v>
      </c>
    </row>
    <row r="27" spans="1:3">
      <c r="A27" t="s">
        <v>408</v>
      </c>
      <c r="B27">
        <v>10.8</v>
      </c>
      <c r="C27">
        <f t="shared" si="0"/>
        <v>10.8</v>
      </c>
    </row>
  </sheetData>
  <pageMargins left="0.75" right="0.75" top="1" bottom="1" header="0.5" footer="0.5"/>
  <headerFooter/>
  <ignoredErrors>
    <ignoredError sqref="A1:C27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8"/>
  <sheetViews>
    <sheetView workbookViewId="0">
      <selection activeCell="A1" sqref="A1"/>
    </sheetView>
  </sheetViews>
  <sheetFormatPr defaultColWidth="9" defaultRowHeight="15.6"/>
  <sheetData>
    <row r="1" spans="1:10">
      <c r="A1" t="s">
        <v>103</v>
      </c>
      <c r="B1" t="s">
        <v>409</v>
      </c>
      <c r="C1" t="s">
        <v>410</v>
      </c>
      <c r="D1" t="s">
        <v>411</v>
      </c>
      <c r="E1" t="s">
        <v>412</v>
      </c>
      <c r="F1" t="s">
        <v>413</v>
      </c>
      <c r="G1" t="s">
        <v>414</v>
      </c>
      <c r="H1" t="s">
        <v>415</v>
      </c>
      <c r="I1" t="s">
        <v>416</v>
      </c>
      <c r="J1" t="s">
        <v>417</v>
      </c>
    </row>
    <row r="2" spans="1:10">
      <c r="A2" t="s">
        <v>38</v>
      </c>
      <c r="B2" t="s">
        <v>418</v>
      </c>
      <c r="C2" t="s">
        <v>418</v>
      </c>
      <c r="D2" t="s">
        <v>418</v>
      </c>
      <c r="E2" t="s">
        <v>418</v>
      </c>
      <c r="F2" t="s">
        <v>418</v>
      </c>
      <c r="G2" t="s">
        <v>418</v>
      </c>
      <c r="H2" t="s">
        <v>418</v>
      </c>
      <c r="I2" t="s">
        <v>418</v>
      </c>
      <c r="J2" t="s">
        <v>418</v>
      </c>
    </row>
    <row r="3" spans="1:10">
      <c r="A3" t="s">
        <v>127</v>
      </c>
      <c r="B3" t="s">
        <v>126</v>
      </c>
      <c r="C3">
        <v>0</v>
      </c>
      <c r="D3">
        <v>0</v>
      </c>
      <c r="E3">
        <v>0</v>
      </c>
      <c r="F3">
        <v>0</v>
      </c>
      <c r="G3" t="s">
        <v>419</v>
      </c>
      <c r="H3">
        <v>8</v>
      </c>
      <c r="I3">
        <v>1</v>
      </c>
      <c r="J3" t="s">
        <v>420</v>
      </c>
    </row>
    <row r="4" spans="1:10">
      <c r="A4" t="s">
        <v>128</v>
      </c>
      <c r="B4" t="s">
        <v>126</v>
      </c>
      <c r="C4">
        <v>0</v>
      </c>
      <c r="D4">
        <v>0</v>
      </c>
      <c r="E4">
        <v>0</v>
      </c>
      <c r="F4">
        <v>0</v>
      </c>
      <c r="G4" t="s">
        <v>421</v>
      </c>
      <c r="H4">
        <v>8</v>
      </c>
      <c r="I4">
        <v>1</v>
      </c>
      <c r="J4" t="s">
        <v>420</v>
      </c>
    </row>
    <row r="5" spans="1:10">
      <c r="A5" t="s">
        <v>63</v>
      </c>
    </row>
    <row r="6" spans="1:10">
      <c r="A6" t="s">
        <v>422</v>
      </c>
    </row>
    <row r="7" spans="1:10">
      <c r="A7" t="s">
        <v>131</v>
      </c>
      <c r="B7" t="s">
        <v>129</v>
      </c>
      <c r="C7">
        <v>0</v>
      </c>
      <c r="D7">
        <v>0</v>
      </c>
      <c r="E7">
        <v>0</v>
      </c>
      <c r="F7">
        <v>10</v>
      </c>
      <c r="G7" t="s">
        <v>418</v>
      </c>
      <c r="H7" t="s">
        <v>418</v>
      </c>
      <c r="I7" t="s">
        <v>418</v>
      </c>
      <c r="J7" t="s">
        <v>423</v>
      </c>
    </row>
    <row r="9" spans="1:10">
      <c r="A9" t="s">
        <v>424</v>
      </c>
      <c r="C9">
        <f>25*0.037</f>
        <v>0.925</v>
      </c>
      <c r="D9">
        <f>25*0.037</f>
        <v>0.925</v>
      </c>
    </row>
    <row r="10" spans="1:10">
      <c r="A10" t="s">
        <v>425</v>
      </c>
    </row>
    <row r="11" spans="1:10">
      <c r="A11" t="s">
        <v>426</v>
      </c>
    </row>
    <row r="12" spans="1:10">
      <c r="A12" t="s">
        <v>427</v>
      </c>
    </row>
    <row r="13" spans="1:10">
      <c r="A13" t="s">
        <v>428</v>
      </c>
    </row>
    <row r="14" spans="1:10">
      <c r="A14" t="s">
        <v>429</v>
      </c>
    </row>
    <row r="15" spans="1:10">
      <c r="A15" t="s">
        <v>430</v>
      </c>
    </row>
    <row r="16" spans="1:10">
      <c r="A16" t="s">
        <v>431</v>
      </c>
    </row>
    <row r="17" spans="1:1">
      <c r="A17" t="s">
        <v>432</v>
      </c>
    </row>
    <row r="18" spans="1:1">
      <c r="A18" t="s">
        <v>433</v>
      </c>
    </row>
    <row r="19" spans="1:1">
      <c r="A19" t="s">
        <v>434</v>
      </c>
    </row>
    <row r="20" spans="1:1">
      <c r="A20" t="s">
        <v>435</v>
      </c>
    </row>
    <row r="21" spans="1:1">
      <c r="A21" t="s">
        <v>436</v>
      </c>
    </row>
    <row r="22" spans="1:1">
      <c r="A22" t="s">
        <v>437</v>
      </c>
    </row>
    <row r="23" spans="1:1">
      <c r="A23" t="s">
        <v>438</v>
      </c>
    </row>
    <row r="25" spans="1:1">
      <c r="A25" t="s">
        <v>439</v>
      </c>
    </row>
    <row r="26" spans="1:1">
      <c r="A26" t="s">
        <v>440</v>
      </c>
    </row>
    <row r="27" spans="1:1">
      <c r="A27" t="s">
        <v>441</v>
      </c>
    </row>
    <row r="28" spans="1:1">
      <c r="A28" t="s">
        <v>442</v>
      </c>
    </row>
    <row r="29" spans="1:1">
      <c r="A29" t="s">
        <v>443</v>
      </c>
    </row>
    <row r="30" spans="1:1">
      <c r="A30" t="s">
        <v>444</v>
      </c>
    </row>
    <row r="32" spans="1:1">
      <c r="A32" t="s">
        <v>445</v>
      </c>
    </row>
    <row r="33" spans="1:1">
      <c r="A33" t="s">
        <v>446</v>
      </c>
    </row>
    <row r="34" spans="1:1">
      <c r="A34" t="s">
        <v>447</v>
      </c>
    </row>
    <row r="35" spans="1:1">
      <c r="A35" t="s">
        <v>448</v>
      </c>
    </row>
    <row r="36" spans="1:1">
      <c r="A36" t="s">
        <v>449</v>
      </c>
    </row>
    <row r="37" spans="1:1">
      <c r="A37" t="s">
        <v>450</v>
      </c>
    </row>
    <row r="38" spans="1:1">
      <c r="A38" t="s">
        <v>451</v>
      </c>
    </row>
    <row r="39" spans="1:1">
      <c r="A39" t="s">
        <v>452</v>
      </c>
    </row>
    <row r="40" spans="1:1">
      <c r="A40" t="s">
        <v>453</v>
      </c>
    </row>
    <row r="41" spans="1:1">
      <c r="A41" t="s">
        <v>454</v>
      </c>
    </row>
    <row r="43" spans="1:1">
      <c r="A43" t="s">
        <v>455</v>
      </c>
    </row>
    <row r="44" spans="1:1">
      <c r="A44" t="s">
        <v>456</v>
      </c>
    </row>
    <row r="45" spans="1:1">
      <c r="A45" t="s">
        <v>457</v>
      </c>
    </row>
    <row r="46" spans="1:1">
      <c r="A46" t="s">
        <v>458</v>
      </c>
    </row>
    <row r="47" spans="1:1">
      <c r="A47" t="s">
        <v>459</v>
      </c>
    </row>
    <row r="48" spans="1:1">
      <c r="A48" t="s">
        <v>460</v>
      </c>
    </row>
    <row r="49" spans="1:1">
      <c r="A49" t="s">
        <v>461</v>
      </c>
    </row>
    <row r="50" spans="1:1">
      <c r="A50" t="s">
        <v>462</v>
      </c>
    </row>
    <row r="51" spans="1:1">
      <c r="A51" t="s">
        <v>463</v>
      </c>
    </row>
    <row r="52" spans="1:1">
      <c r="A52" t="s">
        <v>464</v>
      </c>
    </row>
    <row r="53" spans="1:1">
      <c r="A53" t="s">
        <v>465</v>
      </c>
    </row>
    <row r="54" spans="1:1">
      <c r="A54" t="s">
        <v>466</v>
      </c>
    </row>
    <row r="55" spans="1:1">
      <c r="A55" t="s">
        <v>186</v>
      </c>
    </row>
    <row r="57" spans="1:1">
      <c r="A57" t="s">
        <v>467</v>
      </c>
    </row>
    <row r="58" spans="1:1">
      <c r="A58" t="s">
        <v>468</v>
      </c>
    </row>
    <row r="59" spans="1:1">
      <c r="A59" t="s">
        <v>469</v>
      </c>
    </row>
    <row r="60" spans="1:1">
      <c r="A60" t="s">
        <v>470</v>
      </c>
    </row>
    <row r="61" spans="1:1">
      <c r="A61" t="s">
        <v>471</v>
      </c>
    </row>
    <row r="62" spans="1:1">
      <c r="A62" t="s">
        <v>472</v>
      </c>
    </row>
    <row r="63" spans="1:1">
      <c r="A63" t="s">
        <v>473</v>
      </c>
    </row>
    <row r="64" spans="1:1">
      <c r="A64" t="s">
        <v>474</v>
      </c>
    </row>
    <row r="65" spans="1:1">
      <c r="A65" t="s">
        <v>475</v>
      </c>
    </row>
    <row r="66" spans="1:1">
      <c r="A66" t="s">
        <v>476</v>
      </c>
    </row>
    <row r="67" spans="1:1">
      <c r="A67" t="s">
        <v>477</v>
      </c>
    </row>
    <row r="68" spans="1:1">
      <c r="A68" t="s">
        <v>478</v>
      </c>
    </row>
    <row r="69" spans="1:1">
      <c r="A69" t="s">
        <v>479</v>
      </c>
    </row>
    <row r="70" spans="1:1">
      <c r="A70" t="s">
        <v>202</v>
      </c>
    </row>
    <row r="71" spans="1:1">
      <c r="A71" t="s">
        <v>203</v>
      </c>
    </row>
    <row r="72" spans="1:1">
      <c r="A72" t="s">
        <v>204</v>
      </c>
    </row>
    <row r="73" spans="1:1">
      <c r="A73" t="s">
        <v>205</v>
      </c>
    </row>
    <row r="75" spans="1:1">
      <c r="A75" t="s">
        <v>480</v>
      </c>
    </row>
    <row r="76" spans="1:1">
      <c r="A76" t="s">
        <v>481</v>
      </c>
    </row>
    <row r="77" spans="1:1">
      <c r="A77" t="s">
        <v>482</v>
      </c>
    </row>
    <row r="78" spans="1:1">
      <c r="A78" t="s">
        <v>483</v>
      </c>
    </row>
    <row r="79" spans="1:1">
      <c r="A79" t="s">
        <v>484</v>
      </c>
    </row>
    <row r="80" spans="1:1">
      <c r="A80" t="s">
        <v>485</v>
      </c>
    </row>
    <row r="81" spans="1:1">
      <c r="A81" t="s">
        <v>486</v>
      </c>
    </row>
    <row r="82" spans="1:1">
      <c r="A82" t="s">
        <v>487</v>
      </c>
    </row>
    <row r="83" spans="1:1">
      <c r="A83" t="s">
        <v>488</v>
      </c>
    </row>
    <row r="84" spans="1:1">
      <c r="A84" t="s">
        <v>489</v>
      </c>
    </row>
    <row r="85" spans="1:1">
      <c r="A85" t="s">
        <v>490</v>
      </c>
    </row>
    <row r="87" spans="1:1">
      <c r="A87" t="s">
        <v>491</v>
      </c>
    </row>
    <row r="88" spans="1:1">
      <c r="A88" t="s">
        <v>492</v>
      </c>
    </row>
    <row r="89" spans="1:1">
      <c r="A89" t="s">
        <v>493</v>
      </c>
    </row>
    <row r="90" spans="1:1">
      <c r="A90" t="s">
        <v>494</v>
      </c>
    </row>
    <row r="91" spans="1:1">
      <c r="A91" t="s">
        <v>495</v>
      </c>
    </row>
    <row r="92" spans="1:1">
      <c r="A92" t="s">
        <v>222</v>
      </c>
    </row>
    <row r="93" spans="1:1">
      <c r="A93" t="s">
        <v>496</v>
      </c>
    </row>
    <row r="94" spans="1:1">
      <c r="A94" t="s">
        <v>497</v>
      </c>
    </row>
    <row r="96" spans="1:1">
      <c r="A96" t="s">
        <v>498</v>
      </c>
    </row>
    <row r="97" spans="1:1">
      <c r="A97" t="s">
        <v>499</v>
      </c>
    </row>
    <row r="98" spans="1:1">
      <c r="A98" t="s">
        <v>500</v>
      </c>
    </row>
    <row r="99" spans="1:1">
      <c r="A99" t="s">
        <v>501</v>
      </c>
    </row>
    <row r="100" spans="1:1">
      <c r="A100" t="s">
        <v>502</v>
      </c>
    </row>
    <row r="101" spans="1:1">
      <c r="A101" t="s">
        <v>503</v>
      </c>
    </row>
    <row r="102" spans="1:1">
      <c r="A102" t="s">
        <v>504</v>
      </c>
    </row>
    <row r="103" spans="1:1">
      <c r="A103" t="s">
        <v>505</v>
      </c>
    </row>
    <row r="104" spans="1:1">
      <c r="A104" t="s">
        <v>506</v>
      </c>
    </row>
    <row r="105" spans="1:1">
      <c r="A105" t="s">
        <v>507</v>
      </c>
    </row>
    <row r="106" spans="1:1">
      <c r="A106" t="s">
        <v>508</v>
      </c>
    </row>
    <row r="107" spans="1:1">
      <c r="A107" t="s">
        <v>509</v>
      </c>
    </row>
    <row r="108" spans="1:1">
      <c r="A108" t="s">
        <v>510</v>
      </c>
    </row>
    <row r="109" spans="1:1">
      <c r="A109" t="s">
        <v>511</v>
      </c>
    </row>
    <row r="110" spans="1:1">
      <c r="A110" t="s">
        <v>512</v>
      </c>
    </row>
    <row r="111" spans="1:1">
      <c r="A111" t="s">
        <v>513</v>
      </c>
    </row>
    <row r="112" spans="1:1">
      <c r="A112" t="s">
        <v>514</v>
      </c>
    </row>
    <row r="113" spans="1:1">
      <c r="A113" t="s">
        <v>515</v>
      </c>
    </row>
    <row r="114" spans="1:1">
      <c r="A114" t="s">
        <v>516</v>
      </c>
    </row>
    <row r="115" spans="1:1">
      <c r="A115" t="s">
        <v>517</v>
      </c>
    </row>
    <row r="116" spans="1:1">
      <c r="A116" t="s">
        <v>518</v>
      </c>
    </row>
    <row r="117" spans="1:1">
      <c r="A117" t="s">
        <v>519</v>
      </c>
    </row>
    <row r="118" spans="1:1">
      <c r="A118" t="s">
        <v>520</v>
      </c>
    </row>
  </sheetData>
  <pageMargins left="0.75" right="0.75" top="1" bottom="1" header="0.5" footer="0.5"/>
  <headerFooter/>
  <ignoredErrors>
    <ignoredError sqref="A1:J11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目标属性</vt:lpstr>
      <vt:lpstr>流派表</vt:lpstr>
      <vt:lpstr>武器奇术</vt:lpstr>
      <vt:lpstr>毕业面板</vt:lpstr>
      <vt:lpstr>轴</vt:lpstr>
      <vt:lpstr>加成</vt:lpstr>
      <vt:lpstr>套装</vt:lpstr>
      <vt:lpstr>满值词条</vt:lpstr>
      <vt:lpstr>技能奇术耗时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zhuzh</dc:creator>
  <cp:lastModifiedBy>名字什么的好难取</cp:lastModifiedBy>
  <dcterms:created xsi:type="dcterms:W3CDTF">2026-03-20T07:38:00Z</dcterms:created>
  <dcterms:modified xsi:type="dcterms:W3CDTF">2026-05-15T13:12:02Z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812F35F0EFD6461F9C6487363B65A8E2_11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